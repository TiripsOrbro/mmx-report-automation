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filterPrivacy="1" defaultThemeVersion="166925"/>
  <xr:revisionPtr revIDLastSave="5" documentId="11_484E378ECB8F8BA14D01287650C1AAFF9321869B" xr6:coauthVersionLast="47" xr6:coauthVersionMax="47" xr10:uidLastSave="{B1F905C6-ED5F-459B-9861-3C5AC1E7A60A}"/>
  <bookViews>
    <workbookView xWindow="2940" yWindow="2940" windowWidth="25200" windowHeight="14835" activeTab="2" xr2:uid="{00000000-000D-0000-FFFF-FFFF00000000}"/>
  </bookViews>
  <sheets>
    <sheet name="Home" sheetId="10" r:id="rId1"/>
    <sheet name="WEEKLY PREP GUIDES" sheetId="14" r:id="rId2"/>
    <sheet name="DRY" sheetId="5" r:id="rId3"/>
    <sheet name="FRIDGE &amp; FREEZER" sheetId="6" r:id="rId4"/>
    <sheet name="SCHWEPPES" sheetId="1" r:id="rId5"/>
    <sheet name="BEGA" sheetId="7" r:id="rId6"/>
    <sheet name="CUTFRESH" sheetId="9" r:id="rId7"/>
    <sheet name="STOCK ON HAND" sheetId="8" r:id="rId8"/>
    <sheet name="STOCK ON ORDER" sheetId="3" r:id="rId9"/>
    <sheet name="AC and RGM only" sheetId="4" r:id="rId10"/>
  </sheets>
  <definedNames>
    <definedName name="_xlnm.Print_Area" localSheetId="1">'WEEKLY PREP GUIDES'!$A112:$Q150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8" i="9" l="1"/>
  <c r="K16" i="9" a="1"/>
  <c r="J16" i="9" a="1"/>
  <c r="I16" i="9" a="1"/>
  <c r="H16" i="9" a="1"/>
  <c r="G16" i="9" a="1"/>
  <c r="F16" i="9" a="1"/>
  <c r="E16" i="9" a="1"/>
  <c r="K15" i="9" a="1"/>
  <c r="J15" i="9" a="1"/>
  <c r="I15" i="9" a="1"/>
  <c r="H15" i="9" a="1"/>
  <c r="G15" i="9" a="1"/>
  <c r="F15" i="9" a="1"/>
  <c r="E15" i="9" a="1"/>
  <c r="K14" i="9" a="1"/>
  <c r="J14" i="9" a="1"/>
  <c r="I14" i="9" a="1"/>
  <c r="H14" i="9" a="1"/>
  <c r="G14" i="9" a="1"/>
  <c r="F14" i="9" a="1"/>
  <c r="E14" i="9" a="1"/>
  <c r="K13" i="9" a="1"/>
  <c r="J13" i="9" a="1"/>
  <c r="I13" i="9" a="1"/>
  <c r="H13" i="9" a="1"/>
  <c r="G13" i="9" a="1"/>
  <c r="F13" i="9" a="1"/>
  <c r="E13" i="9" a="1"/>
  <c r="I9" i="9"/>
  <c r="G9" i="9" a="1"/>
  <c r="G9" i="9"/>
  <c r="F9" i="9"/>
  <c r="A9" i="9"/>
  <c r="I8" i="9"/>
  <c r="G8" i="9" a="1"/>
  <c r="G8" i="9"/>
  <c r="F8" i="9"/>
  <c r="A8" i="9"/>
  <c r="I7" i="9"/>
  <c r="G7" i="9" a="1"/>
  <c r="G7" i="9"/>
  <c r="F7" i="9"/>
  <c r="A7" i="9"/>
  <c r="I6" i="9"/>
  <c r="G6" i="9" a="1"/>
  <c r="G6" i="9"/>
  <c r="F6" i="9"/>
  <c r="A6" i="9"/>
  <c r="I8" i="7"/>
  <c r="G8" i="7" a="1"/>
  <c r="G8" i="7"/>
  <c r="F8" i="7"/>
  <c r="A8" i="7"/>
  <c r="I7" i="7"/>
  <c r="G7" i="7" a="1"/>
  <c r="G7" i="7"/>
  <c r="F7" i="7"/>
  <c r="A7" i="7"/>
  <c r="A6" i="7"/>
  <c r="I36" i="1"/>
  <c r="G36" i="1" a="1"/>
  <c r="G36" i="1"/>
  <c r="F36" i="1"/>
  <c r="A36" i="1"/>
  <c r="I35" i="1"/>
  <c r="G35" i="1" a="1"/>
  <c r="G35" i="1"/>
  <c r="F35" i="1"/>
  <c r="A35" i="1"/>
  <c r="I34" i="1"/>
  <c r="G34" i="1" a="1"/>
  <c r="G34" i="1"/>
  <c r="F34" i="1"/>
  <c r="A34" i="1"/>
  <c r="I33" i="1"/>
  <c r="G33" i="1" a="1"/>
  <c r="G33" i="1"/>
  <c r="F33" i="1"/>
  <c r="A33" i="1"/>
  <c r="I32" i="1"/>
  <c r="G32" i="1" a="1"/>
  <c r="G32" i="1"/>
  <c r="F32" i="1"/>
  <c r="A32" i="1"/>
  <c r="I31" i="1"/>
  <c r="G31" i="1" a="1"/>
  <c r="G31" i="1"/>
  <c r="F31" i="1"/>
  <c r="A31" i="1"/>
  <c r="I30" i="1"/>
  <c r="G30" i="1" a="1"/>
  <c r="G30" i="1"/>
  <c r="F30" i="1"/>
  <c r="A30" i="1"/>
  <c r="I29" i="1"/>
  <c r="G29" i="1" a="1"/>
  <c r="G29" i="1"/>
  <c r="F29" i="1"/>
  <c r="A29" i="1"/>
  <c r="I28" i="1"/>
  <c r="G28" i="1" a="1"/>
  <c r="G28" i="1"/>
  <c r="F28" i="1"/>
  <c r="A28" i="1"/>
  <c r="I27" i="1"/>
  <c r="G27" i="1" a="1"/>
  <c r="F27" i="1"/>
  <c r="A27" i="1"/>
  <c r="I26" i="1"/>
  <c r="G26" i="1" a="1"/>
  <c r="G26" i="1"/>
  <c r="F26" i="1"/>
  <c r="A26" i="1"/>
  <c r="I25" i="1"/>
  <c r="G25" i="1" a="1"/>
  <c r="G25" i="1"/>
  <c r="F25" i="1"/>
  <c r="A25" i="1"/>
  <c r="I24" i="1"/>
  <c r="G24" i="1" a="1"/>
  <c r="F24" i="1"/>
  <c r="A24" i="1"/>
  <c r="I23" i="1"/>
  <c r="G23" i="1" a="1"/>
  <c r="G23" i="1"/>
  <c r="F23" i="1"/>
  <c r="A23" i="1"/>
  <c r="I22" i="1"/>
  <c r="G22" i="1" a="1"/>
  <c r="G22" i="1"/>
  <c r="F22" i="1"/>
  <c r="A22" i="1"/>
  <c r="I21" i="1"/>
  <c r="G21" i="1" a="1"/>
  <c r="G21" i="1"/>
  <c r="F21" i="1"/>
  <c r="A21" i="1"/>
  <c r="I20" i="1"/>
  <c r="G20" i="1" a="1"/>
  <c r="G20" i="1"/>
  <c r="F20" i="1"/>
  <c r="A20" i="1"/>
  <c r="I19" i="1"/>
  <c r="G19" i="1" a="1"/>
  <c r="F19" i="1"/>
  <c r="A19" i="1"/>
  <c r="I18" i="1"/>
  <c r="G18" i="1" a="1"/>
  <c r="F18" i="1"/>
  <c r="A18" i="1"/>
  <c r="I17" i="1"/>
  <c r="G17" i="1" a="1"/>
  <c r="F17" i="1"/>
  <c r="A17" i="1"/>
  <c r="I16" i="1"/>
  <c r="G16" i="1" a="1"/>
  <c r="F16" i="1"/>
  <c r="A16" i="1"/>
  <c r="I15" i="1"/>
  <c r="G15" i="1" a="1"/>
  <c r="F15" i="1"/>
  <c r="A15" i="1"/>
  <c r="I14" i="1"/>
  <c r="G14" i="1" a="1"/>
  <c r="F14" i="1"/>
  <c r="A14" i="1"/>
  <c r="I13" i="1"/>
  <c r="G13" i="1" a="1"/>
  <c r="F13" i="1"/>
  <c r="A13" i="1"/>
  <c r="I12" i="1"/>
  <c r="G12" i="1" a="1"/>
  <c r="F12" i="1"/>
  <c r="A12" i="1"/>
  <c r="I11" i="1"/>
  <c r="G11" i="1" a="1"/>
  <c r="F11" i="1"/>
  <c r="A11" i="1"/>
  <c r="I10" i="1"/>
  <c r="G10" i="1" a="1"/>
  <c r="F10" i="1"/>
  <c r="A10" i="1"/>
  <c r="I9" i="1"/>
  <c r="G9" i="1" a="1"/>
  <c r="F9" i="1"/>
  <c r="A9" i="1"/>
  <c r="I8" i="1"/>
  <c r="G8" i="1" a="1"/>
  <c r="F8" i="1"/>
  <c r="A8" i="1"/>
  <c r="I7" i="1"/>
  <c r="G7" i="1" a="1"/>
  <c r="F7" i="1"/>
  <c r="A7" i="1"/>
  <c r="I6" i="1"/>
  <c r="G6" i="1" a="1"/>
  <c r="F6" i="1"/>
  <c r="A6" i="1"/>
  <c r="I32" i="6"/>
  <c r="G32" i="6" a="1"/>
  <c r="F32" i="6"/>
  <c r="A32" i="6"/>
  <c r="I31" i="6"/>
  <c r="G31" i="6" a="1"/>
  <c r="F31" i="6"/>
  <c r="A31" i="6"/>
  <c r="I30" i="6"/>
  <c r="F30" i="6"/>
  <c r="D30" i="6"/>
  <c r="A30" i="6"/>
  <c r="I29" i="6"/>
  <c r="G29" i="6" a="1"/>
  <c r="F29" i="6"/>
  <c r="A29" i="6"/>
  <c r="I28" i="6"/>
  <c r="G28" i="6" a="1"/>
  <c r="F28" i="6"/>
  <c r="A28" i="6"/>
  <c r="I27" i="6"/>
  <c r="G27" i="6" a="1"/>
  <c r="F27" i="6"/>
  <c r="A27" i="6"/>
  <c r="I26" i="6"/>
  <c r="G26" i="6" a="1"/>
  <c r="G26" i="6"/>
  <c r="F26" i="6"/>
  <c r="A26" i="6"/>
  <c r="I25" i="6"/>
  <c r="G25" i="6" a="1"/>
  <c r="G25" i="6"/>
  <c r="F25" i="6"/>
  <c r="A25" i="6"/>
  <c r="I24" i="6"/>
  <c r="G24" i="6" a="1"/>
  <c r="G24" i="6"/>
  <c r="F24" i="6"/>
  <c r="A24" i="6"/>
  <c r="I18" i="6"/>
  <c r="F18" i="6"/>
  <c r="D18" i="6"/>
  <c r="A18" i="6"/>
  <c r="I17" i="6"/>
  <c r="G17" i="6" a="1"/>
  <c r="F17" i="6"/>
  <c r="A17" i="6"/>
  <c r="I16" i="6"/>
  <c r="F16" i="6"/>
  <c r="D16" i="6"/>
  <c r="A16" i="6"/>
  <c r="I15" i="6"/>
  <c r="F15" i="6"/>
  <c r="D15" i="6"/>
  <c r="A15" i="6"/>
  <c r="I14" i="6"/>
  <c r="G14" i="6" a="1"/>
  <c r="G14" i="6"/>
  <c r="F14" i="6"/>
  <c r="A14" i="6"/>
  <c r="I13" i="6"/>
  <c r="F13" i="6"/>
  <c r="D13" i="6"/>
  <c r="A13" i="6"/>
  <c r="I12" i="6"/>
  <c r="F12" i="6"/>
  <c r="D12" i="6"/>
  <c r="A12" i="6"/>
  <c r="I11" i="6"/>
  <c r="G11" i="6" a="1"/>
  <c r="F11" i="6"/>
  <c r="A11" i="6"/>
  <c r="I10" i="6"/>
  <c r="F10" i="6"/>
  <c r="D10" i="6"/>
  <c r="A10" i="6"/>
  <c r="I9" i="6"/>
  <c r="G9" i="6" a="1"/>
  <c r="F9" i="6"/>
  <c r="A9" i="6"/>
  <c r="J8" i="6"/>
  <c r="I8" i="6"/>
  <c r="G8" i="6" a="1"/>
  <c r="G8" i="6"/>
  <c r="F8" i="6"/>
  <c r="A8" i="6"/>
  <c r="I7" i="6"/>
  <c r="G7" i="6" a="1"/>
  <c r="G7" i="6"/>
  <c r="F7" i="6"/>
  <c r="A7" i="6"/>
  <c r="I6" i="6"/>
  <c r="F6" i="6"/>
  <c r="D6" i="6"/>
  <c r="A6" i="6"/>
  <c r="O113" i="14"/>
  <c r="O110" i="14" a="1"/>
  <c r="O110" i="14"/>
  <c r="M110" i="14" a="1"/>
  <c r="K110" i="14" a="1"/>
  <c r="I110" i="14" a="1"/>
  <c r="G110" i="14" a="1"/>
  <c r="E110" i="14" a="1"/>
  <c r="C110" i="14" a="1"/>
  <c r="O109" i="14" a="1"/>
  <c r="O109" i="14"/>
  <c r="M109" i="14" a="1"/>
  <c r="M109" i="14"/>
  <c r="K109" i="14" a="1"/>
  <c r="I109" i="14" a="1"/>
  <c r="G109" i="14" a="1"/>
  <c r="E109" i="14" a="1"/>
  <c r="C109" i="14" a="1"/>
  <c r="O108" i="14" a="1"/>
  <c r="M108" i="14" a="1"/>
  <c r="K108" i="14" a="1"/>
  <c r="I108" i="14" a="1"/>
  <c r="G108" i="14" a="1"/>
  <c r="E108" i="14" a="1"/>
  <c r="C108" i="14" a="1"/>
  <c r="O107" i="14" a="1"/>
  <c r="M107" i="14" a="1"/>
  <c r="K107" i="14" a="1"/>
  <c r="I107" i="14" a="1"/>
  <c r="G107" i="14" a="1"/>
  <c r="G107" i="14"/>
  <c r="E107" i="14" a="1"/>
  <c r="C107" i="14" a="1"/>
  <c r="O106" i="14" a="1"/>
  <c r="M106" i="14" a="1"/>
  <c r="K106" i="14" a="1"/>
  <c r="I106" i="14" a="1"/>
  <c r="G106" i="14" a="1"/>
  <c r="E106" i="14" a="1"/>
  <c r="C106" i="14" a="1"/>
  <c r="O105" i="14" a="1"/>
  <c r="M105" i="14" a="1"/>
  <c r="K105" i="14" a="1"/>
  <c r="I105" i="14" a="1"/>
  <c r="G105" i="14" a="1"/>
  <c r="E105" i="14" a="1"/>
  <c r="C105" i="14" a="1"/>
  <c r="O104" i="14" a="1"/>
  <c r="M104" i="14" a="1"/>
  <c r="K104" i="14" a="1"/>
  <c r="I104" i="14" a="1"/>
  <c r="G104" i="14" a="1"/>
  <c r="E104" i="14" a="1"/>
  <c r="C104" i="14" a="1"/>
  <c r="O65" i="14"/>
  <c r="O49" i="14" a="1"/>
  <c r="M49" i="14" a="1"/>
  <c r="K49" i="14" a="1"/>
  <c r="I49" i="14" a="1"/>
  <c r="G49" i="14" a="1"/>
  <c r="E49" i="14" a="1"/>
  <c r="C49" i="14" a="1"/>
  <c r="O48" i="14" a="1"/>
  <c r="M48" i="14" a="1"/>
  <c r="K48" i="14" a="1"/>
  <c r="I48" i="14" a="1"/>
  <c r="G48" i="14" a="1"/>
  <c r="E48" i="14" a="1"/>
  <c r="C48" i="14" a="1"/>
  <c r="O47" i="14" a="1"/>
  <c r="M47" i="14" a="1"/>
  <c r="K47" i="14" a="1"/>
  <c r="I47" i="14" a="1"/>
  <c r="G47" i="14" a="1"/>
  <c r="E47" i="14" a="1"/>
  <c r="E47" i="14"/>
  <c r="C47" i="14" a="1"/>
  <c r="O46" i="14" a="1"/>
  <c r="M46" i="14" a="1"/>
  <c r="K46" i="14" a="1"/>
  <c r="K46" i="14"/>
  <c r="I46" i="14" a="1"/>
  <c r="G46" i="14" a="1"/>
  <c r="E46" i="14" a="1"/>
  <c r="C46" i="14" a="1"/>
  <c r="O45" i="14" a="1"/>
  <c r="M45" i="14" a="1"/>
  <c r="K45" i="14" a="1"/>
  <c r="I45" i="14" a="1"/>
  <c r="G45" i="14" a="1"/>
  <c r="E45" i="14" a="1"/>
  <c r="C45" i="14" a="1"/>
  <c r="O44" i="14" a="1"/>
  <c r="M44" i="14" a="1"/>
  <c r="K44" i="14" a="1"/>
  <c r="I44" i="14" a="1"/>
  <c r="G44" i="14" a="1"/>
  <c r="E44" i="14" a="1"/>
  <c r="C44" i="14" a="1"/>
  <c r="O43" i="14" a="1"/>
  <c r="M43" i="14" a="1"/>
  <c r="K43" i="14" a="1"/>
  <c r="I43" i="14" a="1"/>
  <c r="G43" i="14" a="1"/>
  <c r="E43" i="14" a="1"/>
  <c r="C43" i="14" a="1"/>
  <c r="O42" i="14" a="1"/>
  <c r="M42" i="14" a="1"/>
  <c r="K42" i="14" a="1"/>
  <c r="I42" i="14" a="1"/>
  <c r="G42" i="14" a="1"/>
  <c r="E42" i="14" a="1"/>
  <c r="C42" i="14" a="1"/>
  <c r="O41" i="14" a="1"/>
  <c r="M41" i="14" a="1"/>
  <c r="K41" i="14" a="1"/>
  <c r="I41" i="14" a="1"/>
  <c r="G41" i="14" a="1"/>
  <c r="E41" i="14" a="1"/>
  <c r="C41" i="14" a="1"/>
  <c r="O15" i="14"/>
  <c r="O5" i="14" a="1"/>
  <c r="M5" i="14" a="1"/>
  <c r="K5" i="14" a="1"/>
  <c r="I5" i="14" a="1"/>
  <c r="G5" i="14" a="1"/>
  <c r="E5" i="14" a="1"/>
  <c r="C5" i="14" a="1"/>
  <c r="O4" i="14" a="1"/>
  <c r="M4" i="14" a="1"/>
  <c r="K4" i="14" a="1"/>
  <c r="I4" i="14" a="1"/>
  <c r="G4" i="14" a="1"/>
  <c r="E4" i="14" a="1"/>
  <c r="C4" i="14" a="1"/>
  <c r="O3" i="14" a="1"/>
  <c r="M3" i="14" a="1"/>
  <c r="K3" i="14" a="1"/>
  <c r="I3" i="14" a="1"/>
  <c r="G3" i="14" a="1"/>
  <c r="E3" i="14" a="1"/>
  <c r="C3" i="14" a="1"/>
  <c r="O2" i="14" a="1"/>
  <c r="M2" i="14" a="1"/>
  <c r="K2" i="14" a="1"/>
  <c r="I2" i="14" a="1"/>
  <c r="G2" i="14" a="1"/>
  <c r="E2" i="14" a="1"/>
  <c r="C2" i="14" a="1"/>
  <c r="J37" i="5"/>
  <c r="H37" i="5"/>
  <c r="G37" i="5"/>
  <c r="J36" i="5"/>
  <c r="H36" i="5"/>
  <c r="G36" i="5"/>
  <c r="J35" i="5"/>
  <c r="H35" i="5"/>
  <c r="G35" i="5"/>
  <c r="K34" i="5"/>
  <c r="J34" i="5"/>
  <c r="H34" i="5"/>
  <c r="J33" i="5"/>
  <c r="H33" i="5"/>
  <c r="G33" i="5"/>
  <c r="J32" i="5"/>
  <c r="H32" i="5"/>
  <c r="G32" i="5"/>
  <c r="J31" i="5"/>
  <c r="H31" i="5"/>
  <c r="G31" i="5"/>
  <c r="J30" i="5"/>
  <c r="G30" i="5"/>
  <c r="E30" i="5"/>
  <c r="J29" i="5"/>
  <c r="H29" i="5"/>
  <c r="G29" i="5"/>
  <c r="J28" i="5"/>
  <c r="H28" i="5"/>
  <c r="G28" i="5"/>
  <c r="J27" i="5"/>
  <c r="H27" i="5"/>
  <c r="G27" i="5"/>
  <c r="J26" i="5"/>
  <c r="H26" i="5"/>
  <c r="G26" i="5"/>
  <c r="J25" i="5"/>
  <c r="H25" i="5"/>
  <c r="G25" i="5"/>
  <c r="J24" i="5"/>
  <c r="H24" i="5"/>
  <c r="G24" i="5"/>
  <c r="J23" i="5"/>
  <c r="H23" i="5"/>
  <c r="G23" i="5"/>
  <c r="J22" i="5"/>
  <c r="H22" i="5"/>
  <c r="G22" i="5"/>
  <c r="J21" i="5"/>
  <c r="H21" i="5"/>
  <c r="G21" i="5"/>
  <c r="J20" i="5"/>
  <c r="G20" i="5"/>
  <c r="E20" i="5"/>
  <c r="J19" i="5"/>
  <c r="H19" i="5"/>
  <c r="G19" i="5"/>
  <c r="J18" i="5"/>
  <c r="H18" i="5"/>
  <c r="G18" i="5"/>
  <c r="J17" i="5"/>
  <c r="H17" i="5"/>
  <c r="G17" i="5"/>
  <c r="J16" i="5"/>
  <c r="H16" i="5"/>
  <c r="G16" i="5"/>
  <c r="J15" i="5"/>
  <c r="H15" i="5"/>
  <c r="G15" i="5"/>
  <c r="J14" i="5"/>
  <c r="H14" i="5"/>
  <c r="G14" i="5"/>
  <c r="J13" i="5"/>
  <c r="H13" i="5"/>
  <c r="G13" i="5"/>
  <c r="J12" i="5"/>
  <c r="H12" i="5"/>
  <c r="G12" i="5"/>
  <c r="J11" i="5"/>
  <c r="H11" i="5"/>
  <c r="G11" i="5"/>
  <c r="J10" i="5"/>
  <c r="H10" i="5"/>
  <c r="G10" i="5"/>
  <c r="J9" i="5"/>
  <c r="H9" i="5"/>
  <c r="G9" i="5"/>
  <c r="J8" i="5"/>
  <c r="H8" i="5"/>
  <c r="G8" i="5"/>
  <c r="J7" i="5"/>
  <c r="H7" i="5"/>
  <c r="G7" i="5"/>
  <c r="J6" i="5"/>
  <c r="H6" i="5"/>
  <c r="G6" i="5"/>
  <c r="G31" i="6" l="1"/>
  <c r="C108" i="14"/>
  <c r="I47" i="14"/>
  <c r="I5" i="14"/>
  <c r="G17" i="1"/>
  <c r="G13" i="1"/>
  <c r="G12" i="1"/>
  <c r="G11" i="1"/>
  <c r="G10" i="1"/>
  <c r="G9" i="1"/>
  <c r="G8" i="1"/>
  <c r="G7" i="1"/>
  <c r="G32" i="6"/>
  <c r="I110" i="14"/>
  <c r="K106" i="14"/>
  <c r="O47" i="14"/>
  <c r="G14" i="1"/>
  <c r="G28" i="6"/>
  <c r="G27" i="6"/>
  <c r="K109" i="14"/>
  <c r="K108" i="14"/>
  <c r="K107" i="14"/>
  <c r="G106" i="14"/>
  <c r="K5" i="14"/>
  <c r="G24" i="1"/>
  <c r="G18" i="1"/>
  <c r="G6" i="1"/>
  <c r="G110" i="14"/>
  <c r="M107" i="14"/>
  <c r="I106" i="14"/>
  <c r="M5" i="14"/>
  <c r="G16" i="1"/>
  <c r="G15" i="1"/>
  <c r="E110" i="14"/>
  <c r="E108" i="14"/>
  <c r="G5" i="14"/>
  <c r="E2" i="14"/>
  <c r="G18" i="6" a="1"/>
  <c r="J16" i="6"/>
  <c r="G16" i="6" a="1"/>
  <c r="M110" i="14"/>
  <c r="E109" i="14"/>
  <c r="O107" i="14"/>
  <c r="C2" i="14"/>
  <c r="G15" i="6" a="1"/>
  <c r="K110" i="14"/>
  <c r="O106" i="14"/>
  <c r="G105" i="14"/>
  <c r="I108" i="14"/>
  <c r="E107" i="14"/>
  <c r="E106" i="14"/>
  <c r="K17" i="5"/>
  <c r="C110" i="14"/>
  <c r="C107" i="14"/>
  <c r="O130" i="14" s="1" a="1"/>
  <c r="C106" i="14"/>
  <c r="G47" i="14"/>
  <c r="E46" i="14"/>
  <c r="I107" i="14"/>
  <c r="E130" i="14" s="1"/>
  <c r="M106" i="14"/>
  <c r="M45" i="14"/>
  <c r="M49" i="14"/>
  <c r="K47" i="14"/>
  <c r="G2" i="14"/>
  <c r="E5" i="14"/>
  <c r="G32" i="9"/>
  <c r="J13" i="9"/>
  <c r="J36" i="1"/>
  <c r="H36" i="1"/>
  <c r="K36" i="1" s="1"/>
  <c r="K35" i="1"/>
  <c r="H35" i="1"/>
  <c r="J34" i="1"/>
  <c r="H34" i="1"/>
  <c r="K34" i="1" s="1"/>
  <c r="J33" i="1"/>
  <c r="H33" i="1"/>
  <c r="K33" i="1" s="1"/>
  <c r="K32" i="1"/>
  <c r="H32" i="1"/>
  <c r="J31" i="1"/>
  <c r="H31" i="1"/>
  <c r="K31" i="1" s="1"/>
  <c r="J30" i="1"/>
  <c r="H30" i="1"/>
  <c r="K30" i="1" s="1"/>
  <c r="K29" i="1"/>
  <c r="H29" i="1"/>
  <c r="K28" i="1"/>
  <c r="H28" i="1"/>
  <c r="G27" i="1"/>
  <c r="J26" i="1"/>
  <c r="H26" i="1"/>
  <c r="K26" i="1" s="1"/>
  <c r="J25" i="1"/>
  <c r="H25" i="1"/>
  <c r="K25" i="1" s="1"/>
  <c r="J24" i="1"/>
  <c r="H24" i="1"/>
  <c r="K24" i="1" s="1"/>
  <c r="K23" i="1"/>
  <c r="H23" i="1"/>
  <c r="J22" i="1"/>
  <c r="H22" i="1"/>
  <c r="K22" i="1" s="1"/>
  <c r="J21" i="1"/>
  <c r="H21" i="1"/>
  <c r="K21" i="1" s="1"/>
  <c r="J20" i="1"/>
  <c r="H20" i="1"/>
  <c r="K20" i="1" s="1"/>
  <c r="J19" i="1"/>
  <c r="G19" i="1"/>
  <c r="K18" i="1"/>
  <c r="H18" i="1"/>
  <c r="K17" i="1"/>
  <c r="H17" i="1"/>
  <c r="K16" i="1"/>
  <c r="H16" i="1"/>
  <c r="K15" i="1"/>
  <c r="H15" i="1"/>
  <c r="J14" i="1"/>
  <c r="H14" i="1"/>
  <c r="J13" i="1"/>
  <c r="H13" i="1"/>
  <c r="K13" i="1" s="1"/>
  <c r="J12" i="1"/>
  <c r="H12" i="1"/>
  <c r="K12" i="1" s="1"/>
  <c r="J11" i="1"/>
  <c r="H11" i="1"/>
  <c r="K11" i="1" s="1"/>
  <c r="J26" i="6"/>
  <c r="H26" i="6"/>
  <c r="K26" i="6" s="1"/>
  <c r="J25" i="6"/>
  <c r="H25" i="6"/>
  <c r="K25" i="6" s="1"/>
  <c r="J24" i="6"/>
  <c r="H24" i="6"/>
  <c r="K24" i="6" s="1"/>
  <c r="J18" i="6"/>
  <c r="J14" i="6"/>
  <c r="H14" i="6"/>
  <c r="K14" i="6" s="1"/>
  <c r="J13" i="6"/>
  <c r="G13" i="6" a="1"/>
  <c r="G13" i="6" s="1"/>
  <c r="J12" i="6"/>
  <c r="G12" i="6" a="1"/>
  <c r="G12" i="6" s="1"/>
  <c r="J11" i="6"/>
  <c r="G11" i="6"/>
  <c r="J10" i="6"/>
  <c r="G10" i="6" a="1"/>
  <c r="G10" i="6" s="1"/>
  <c r="G9" i="6"/>
  <c r="J14" i="9"/>
  <c r="F13" i="9"/>
  <c r="J27" i="1"/>
  <c r="F15" i="9"/>
  <c r="C109" i="14"/>
  <c r="O108" i="14"/>
  <c r="J141" i="14" s="1" a="1"/>
  <c r="J141" i="14" s="1"/>
  <c r="G108" i="14"/>
  <c r="O105" i="14"/>
  <c r="C105" i="14"/>
  <c r="K104" i="14"/>
  <c r="C104" i="14"/>
  <c r="O44" i="14"/>
  <c r="J96" i="14" s="1" a="1"/>
  <c r="J96" i="14" s="1"/>
  <c r="E44" i="14"/>
  <c r="J72" i="14" s="1" a="1"/>
  <c r="J72" i="14" s="1"/>
  <c r="C44" i="14"/>
  <c r="O43" i="14"/>
  <c r="J95" i="14" s="1" a="1"/>
  <c r="J95" i="14" s="1"/>
  <c r="E43" i="14"/>
  <c r="J71" i="14" s="1" a="1"/>
  <c r="J71" i="14" s="1"/>
  <c r="K42" i="14"/>
  <c r="O41" i="14"/>
  <c r="J93" i="14" s="1" a="1"/>
  <c r="J93" i="14" s="1"/>
  <c r="E41" i="14"/>
  <c r="J69" i="14" s="1" a="1"/>
  <c r="J69" i="14" s="1"/>
  <c r="I14" i="9"/>
  <c r="J10" i="1"/>
  <c r="H10" i="1"/>
  <c r="K10" i="1" s="1"/>
  <c r="J9" i="1"/>
  <c r="H9" i="1"/>
  <c r="K9" i="1" s="1"/>
  <c r="J8" i="1"/>
  <c r="H8" i="1"/>
  <c r="K8" i="1" s="1"/>
  <c r="J7" i="1"/>
  <c r="H7" i="1"/>
  <c r="J6" i="1"/>
  <c r="H6" i="1"/>
  <c r="K6" i="1" s="1"/>
  <c r="J32" i="6"/>
  <c r="H32" i="6"/>
  <c r="K32" i="6" s="1"/>
  <c r="J31" i="6"/>
  <c r="H31" i="6"/>
  <c r="K31" i="6" s="1"/>
  <c r="J30" i="6"/>
  <c r="G30" i="6" a="1"/>
  <c r="G30" i="6" s="1"/>
  <c r="J29" i="6"/>
  <c r="G29" i="6"/>
  <c r="J28" i="6"/>
  <c r="H28" i="6"/>
  <c r="K28" i="6" s="1"/>
  <c r="K27" i="6"/>
  <c r="H27" i="6"/>
  <c r="J17" i="6"/>
  <c r="G17" i="6"/>
  <c r="J15" i="6"/>
  <c r="J9" i="6"/>
  <c r="O129" i="14" a="1"/>
  <c r="O129" i="14" s="1"/>
  <c r="J129" i="14"/>
  <c r="E129" i="14"/>
  <c r="I109" i="14"/>
  <c r="E132" i="14" s="1"/>
  <c r="K105" i="14"/>
  <c r="H14" i="9"/>
  <c r="G4" i="14"/>
  <c r="G10" i="14" s="1" a="1"/>
  <c r="G10" i="14" s="1"/>
  <c r="E4" i="14"/>
  <c r="E10" i="14" s="1" a="1"/>
  <c r="E10" i="14" s="1"/>
  <c r="M2" i="14"/>
  <c r="J15" i="9"/>
  <c r="G13" i="9"/>
  <c r="G16" i="6"/>
  <c r="H16" i="6" s="1"/>
  <c r="K16" i="6" s="1"/>
  <c r="E15" i="9"/>
  <c r="H8" i="6"/>
  <c r="K8" i="6" s="1"/>
  <c r="J7" i="6"/>
  <c r="H7" i="6"/>
  <c r="K7" i="6" s="1"/>
  <c r="J6" i="6"/>
  <c r="G6" i="6" a="1"/>
  <c r="G6" i="6" s="1"/>
  <c r="K143" i="14"/>
  <c r="J143" i="14"/>
  <c r="J142" i="14" a="1"/>
  <c r="J142" i="14" s="1"/>
  <c r="J140" i="14" a="1"/>
  <c r="J140" i="14" s="1"/>
  <c r="J139" i="14" a="1"/>
  <c r="J139" i="14" s="1"/>
  <c r="P133" i="14"/>
  <c r="O133" i="14"/>
  <c r="K133" i="14"/>
  <c r="J133" i="14"/>
  <c r="F133" i="14"/>
  <c r="J132" i="14"/>
  <c r="K14" i="9"/>
  <c r="F123" i="14"/>
  <c r="E123" i="14"/>
  <c r="O119" i="14"/>
  <c r="G109" i="14"/>
  <c r="O122" i="14" s="1"/>
  <c r="M108" i="14"/>
  <c r="O131" i="14" s="1" a="1"/>
  <c r="O131" i="14" s="1"/>
  <c r="I105" i="14"/>
  <c r="O104" i="14"/>
  <c r="I104" i="14"/>
  <c r="E104" i="14"/>
  <c r="G43" i="14"/>
  <c r="O71" i="14" s="1" a="1"/>
  <c r="O71" i="14" s="1"/>
  <c r="I42" i="14"/>
  <c r="E82" i="14" s="1" a="1"/>
  <c r="E82" i="14" s="1"/>
  <c r="M41" i="14"/>
  <c r="O81" i="14" s="1" a="1"/>
  <c r="O81" i="14" s="1"/>
  <c r="C41" i="14"/>
  <c r="C5" i="14"/>
  <c r="K3" i="14"/>
  <c r="K9" i="14" s="1"/>
  <c r="K2" i="14"/>
  <c r="I15" i="9"/>
  <c r="R107" i="14"/>
  <c r="R106" i="14"/>
  <c r="M105" i="14"/>
  <c r="E105" i="14"/>
  <c r="M104" i="14"/>
  <c r="G104" i="14"/>
  <c r="K44" i="14"/>
  <c r="C43" i="14"/>
  <c r="G42" i="14"/>
  <c r="O70" i="14" s="1" a="1"/>
  <c r="O70" i="14" s="1"/>
  <c r="K41" i="14"/>
  <c r="J81" i="14" s="1" a="1"/>
  <c r="J81" i="14" s="1"/>
  <c r="K4" i="14"/>
  <c r="K10" i="14" s="1" a="1"/>
  <c r="K10" i="14" s="1"/>
  <c r="I3" i="14"/>
  <c r="H16" i="9"/>
  <c r="J99" i="14" a="1"/>
  <c r="J99" i="14" s="1"/>
  <c r="O89" i="14" a="1"/>
  <c r="O89" i="14" s="1"/>
  <c r="O87" i="14" a="1"/>
  <c r="O87" i="14" s="1"/>
  <c r="J87" i="14" a="1"/>
  <c r="J87" i="14" s="1"/>
  <c r="E87" i="14" a="1"/>
  <c r="E87" i="14" s="1"/>
  <c r="O86" i="14" a="1"/>
  <c r="O86" i="14" s="1"/>
  <c r="J86" i="14" a="1"/>
  <c r="J86" i="14" s="1"/>
  <c r="K49" i="14"/>
  <c r="J89" i="14" s="1" a="1"/>
  <c r="J89" i="14" s="1"/>
  <c r="E49" i="14"/>
  <c r="J77" i="14" s="1" a="1"/>
  <c r="J77" i="14" s="1"/>
  <c r="O48" i="14"/>
  <c r="J100" i="14" s="1" a="1"/>
  <c r="J100" i="14" s="1"/>
  <c r="K48" i="14"/>
  <c r="J88" i="14" s="1" a="1"/>
  <c r="J88" i="14" s="1"/>
  <c r="G48" i="14"/>
  <c r="O76" i="14" s="1" a="1"/>
  <c r="O76" i="14" s="1"/>
  <c r="C48" i="14"/>
  <c r="C47" i="14"/>
  <c r="M46" i="14"/>
  <c r="G46" i="14"/>
  <c r="O74" i="14" s="1" a="1"/>
  <c r="O74" i="14" s="1"/>
  <c r="O45" i="14"/>
  <c r="J97" i="14" s="1" a="1"/>
  <c r="J97" i="14" s="1"/>
  <c r="I45" i="14"/>
  <c r="E85" i="14" s="1" a="1"/>
  <c r="E85" i="14" s="1"/>
  <c r="E45" i="14"/>
  <c r="J73" i="14" s="1" a="1"/>
  <c r="J73" i="14" s="1"/>
  <c r="M44" i="14"/>
  <c r="G44" i="14"/>
  <c r="O72" i="14" s="1" a="1"/>
  <c r="O72" i="14" s="1"/>
  <c r="M43" i="14"/>
  <c r="I43" i="14"/>
  <c r="E83" i="14" s="1" a="1"/>
  <c r="E83" i="14" s="1"/>
  <c r="M42" i="14"/>
  <c r="C42" i="14"/>
  <c r="G41" i="14"/>
  <c r="O69" i="14" s="1" a="1"/>
  <c r="O69" i="14" s="1"/>
  <c r="E3" i="14"/>
  <c r="E9" i="14" s="1"/>
  <c r="E16" i="9"/>
  <c r="G14" i="9"/>
  <c r="H13" i="9"/>
  <c r="J75" i="14" a="1"/>
  <c r="J75" i="14" s="1"/>
  <c r="J74" i="14" a="1"/>
  <c r="J74" i="14" s="1"/>
  <c r="O49" i="14"/>
  <c r="J101" i="14" s="1" a="1"/>
  <c r="J101" i="14" s="1"/>
  <c r="G49" i="14"/>
  <c r="O77" i="14" s="1" a="1"/>
  <c r="O77" i="14" s="1"/>
  <c r="C49" i="14"/>
  <c r="M48" i="14"/>
  <c r="O88" i="14" s="1" a="1"/>
  <c r="O88" i="14" s="1"/>
  <c r="I48" i="14"/>
  <c r="E88" i="14" s="1" a="1"/>
  <c r="E88" i="14" s="1"/>
  <c r="E48" i="14"/>
  <c r="J76" i="14" s="1" a="1"/>
  <c r="J76" i="14" s="1"/>
  <c r="M47" i="14"/>
  <c r="O46" i="14"/>
  <c r="J98" i="14" s="1" a="1"/>
  <c r="J98" i="14" s="1"/>
  <c r="I46" i="14"/>
  <c r="E86" i="14" s="1" a="1"/>
  <c r="E86" i="14" s="1"/>
  <c r="C46" i="14"/>
  <c r="K45" i="14"/>
  <c r="G45" i="14"/>
  <c r="O73" i="14" s="1" a="1"/>
  <c r="O73" i="14" s="1"/>
  <c r="I44" i="14"/>
  <c r="E84" i="14" s="1" a="1"/>
  <c r="E84" i="14" s="1"/>
  <c r="K43" i="14"/>
  <c r="O42" i="14"/>
  <c r="J94" i="14" s="1" a="1"/>
  <c r="J94" i="14" s="1"/>
  <c r="E42" i="14"/>
  <c r="J70" i="14" s="1" a="1"/>
  <c r="J70" i="14" s="1"/>
  <c r="I41" i="14"/>
  <c r="E81" i="14" s="1" a="1"/>
  <c r="E81" i="14" s="1"/>
  <c r="M4" i="14"/>
  <c r="M10" i="14" s="1" a="1"/>
  <c r="M10" i="14" s="1"/>
  <c r="C4" i="14"/>
  <c r="C3" i="14"/>
  <c r="K15" i="9"/>
  <c r="I49" i="14"/>
  <c r="E89" i="14" s="1" a="1"/>
  <c r="E89" i="14" s="1"/>
  <c r="G15" i="9"/>
  <c r="I13" i="9"/>
  <c r="C45" i="14"/>
  <c r="H15" i="9"/>
  <c r="G11" i="14"/>
  <c r="O22" i="14" s="1"/>
  <c r="E11" i="14"/>
  <c r="J22" i="14" s="1"/>
  <c r="O5" i="14"/>
  <c r="O4" i="14"/>
  <c r="O10" i="14" s="1" a="1"/>
  <c r="O10" i="14" s="1"/>
  <c r="P10" i="14" s="1"/>
  <c r="J35" i="14" s="1"/>
  <c r="I4" i="14"/>
  <c r="I10" i="14" s="1" a="1"/>
  <c r="I10" i="14" s="1"/>
  <c r="J10" i="14" s="1"/>
  <c r="E28" i="14" s="1"/>
  <c r="O3" i="14"/>
  <c r="G3" i="14"/>
  <c r="G9" i="14" s="1"/>
  <c r="H9" i="14" s="1"/>
  <c r="O20" i="14" s="1"/>
  <c r="O2" i="14"/>
  <c r="O8" i="14" s="1"/>
  <c r="P8" i="14" s="1"/>
  <c r="J33" i="14" s="1"/>
  <c r="F16" i="9"/>
  <c r="E8" i="14"/>
  <c r="F8" i="14" s="1"/>
  <c r="J19" i="14" s="1"/>
  <c r="C8" i="14"/>
  <c r="D8" i="14" s="1"/>
  <c r="E19" i="14" s="1"/>
  <c r="M3" i="14"/>
  <c r="G16" i="9"/>
  <c r="I2" i="14"/>
  <c r="K37" i="5"/>
  <c r="I37" i="5"/>
  <c r="L37" i="5" s="1"/>
  <c r="K36" i="5"/>
  <c r="I36" i="5"/>
  <c r="L36" i="5" s="1"/>
  <c r="K35" i="5"/>
  <c r="I35" i="5"/>
  <c r="L35" i="5" s="1"/>
  <c r="I34" i="5"/>
  <c r="L34" i="5" s="1"/>
  <c r="K33" i="5"/>
  <c r="I33" i="5"/>
  <c r="L33" i="5" s="1"/>
  <c r="K32" i="5"/>
  <c r="I32" i="5"/>
  <c r="L32" i="5" s="1"/>
  <c r="K31" i="5"/>
  <c r="I31" i="5"/>
  <c r="L31" i="5" s="1"/>
  <c r="K30" i="5"/>
  <c r="H30" i="5"/>
  <c r="K29" i="5"/>
  <c r="I29" i="5"/>
  <c r="L29" i="5" s="1"/>
  <c r="K28" i="5"/>
  <c r="I28" i="5"/>
  <c r="L28" i="5" s="1"/>
  <c r="I16" i="9"/>
  <c r="K27" i="5"/>
  <c r="I27" i="5"/>
  <c r="L27" i="5" s="1"/>
  <c r="K26" i="5"/>
  <c r="I26" i="5"/>
  <c r="L26" i="5" s="1"/>
  <c r="K25" i="5"/>
  <c r="I25" i="5"/>
  <c r="L25" i="5" s="1"/>
  <c r="K24" i="5"/>
  <c r="I24" i="5"/>
  <c r="L24" i="5" s="1"/>
  <c r="K23" i="5"/>
  <c r="I23" i="5"/>
  <c r="L23" i="5" s="1"/>
  <c r="K22" i="5"/>
  <c r="I22" i="5"/>
  <c r="L22" i="5" s="1"/>
  <c r="K21" i="5"/>
  <c r="I21" i="5"/>
  <c r="L21" i="5" s="1"/>
  <c r="K20" i="5"/>
  <c r="H20" i="5"/>
  <c r="K19" i="5"/>
  <c r="I19" i="5"/>
  <c r="L19" i="5" s="1"/>
  <c r="K18" i="5"/>
  <c r="I18" i="5"/>
  <c r="L18" i="5" s="1"/>
  <c r="I17" i="5"/>
  <c r="L17" i="5" s="1"/>
  <c r="K6" i="5"/>
  <c r="F14" i="9"/>
  <c r="E14" i="9"/>
  <c r="K16" i="5"/>
  <c r="I16" i="5"/>
  <c r="L16" i="5" s="1"/>
  <c r="K15" i="5"/>
  <c r="I15" i="5"/>
  <c r="L15" i="5" s="1"/>
  <c r="K14" i="5"/>
  <c r="I14" i="5"/>
  <c r="L14" i="5" s="1"/>
  <c r="K13" i="5"/>
  <c r="I13" i="5"/>
  <c r="L13" i="5" s="1"/>
  <c r="K12" i="5"/>
  <c r="I12" i="5"/>
  <c r="K11" i="5"/>
  <c r="I11" i="5"/>
  <c r="K10" i="5"/>
  <c r="I10" i="5"/>
  <c r="L10" i="5" s="1"/>
  <c r="K9" i="5"/>
  <c r="I9" i="5"/>
  <c r="L9" i="5" s="1"/>
  <c r="K8" i="5"/>
  <c r="I8" i="5"/>
  <c r="L8" i="5" s="1"/>
  <c r="K7" i="5"/>
  <c r="I7" i="5"/>
  <c r="L7" i="5" s="1"/>
  <c r="I6" i="5"/>
  <c r="K16" i="9"/>
  <c r="J16" i="9"/>
  <c r="K13" i="9"/>
  <c r="E13" i="9"/>
  <c r="H9" i="9"/>
  <c r="H8" i="9"/>
  <c r="H7" i="9"/>
  <c r="H6" i="9"/>
  <c r="J8" i="7"/>
  <c r="H8" i="7"/>
  <c r="K8" i="7" s="1"/>
  <c r="J7" i="7"/>
  <c r="H7" i="7"/>
  <c r="K7" i="7" s="1"/>
  <c r="J130" i="14" l="1"/>
  <c r="K14" i="1"/>
  <c r="H17" i="6"/>
  <c r="K17" i="6" s="1"/>
  <c r="G15" i="6"/>
  <c r="H12" i="6"/>
  <c r="K12" i="6" s="1"/>
  <c r="G18" i="6"/>
  <c r="H18" i="6" s="1"/>
  <c r="K18" i="6" s="1"/>
  <c r="O130" i="14"/>
  <c r="E133" i="14"/>
  <c r="K28" i="9"/>
  <c r="P123" i="14"/>
  <c r="O123" i="14"/>
  <c r="K123" i="14"/>
  <c r="J123" i="14"/>
  <c r="J121" i="14"/>
  <c r="E121" i="14"/>
  <c r="O120" i="14"/>
  <c r="J120" i="14"/>
  <c r="E120" i="14"/>
  <c r="J119" i="14"/>
  <c r="E119" i="14"/>
  <c r="R110" i="14"/>
  <c r="K8" i="14"/>
  <c r="K23" i="9"/>
  <c r="J118" i="14"/>
  <c r="O117" i="14"/>
  <c r="O75" i="14" a="1"/>
  <c r="O75" i="14" s="1"/>
  <c r="K11" i="14"/>
  <c r="J29" i="14" s="1"/>
  <c r="I11" i="14"/>
  <c r="E29" i="14" s="1"/>
  <c r="H10" i="14"/>
  <c r="O21" i="14" s="1"/>
  <c r="F10" i="14"/>
  <c r="J21" i="14" s="1"/>
  <c r="M9" i="14"/>
  <c r="N9" i="14" s="1"/>
  <c r="O27" i="14" s="1"/>
  <c r="I30" i="5"/>
  <c r="L30" i="5" s="1"/>
  <c r="L12" i="5"/>
  <c r="L6" i="5"/>
  <c r="R109" i="14"/>
  <c r="E122" i="14"/>
  <c r="O132" i="14" a="1"/>
  <c r="O132" i="14" s="1"/>
  <c r="R108" i="14"/>
  <c r="O121" i="14"/>
  <c r="R105" i="14"/>
  <c r="E118" i="14"/>
  <c r="O128" i="14" a="1"/>
  <c r="O128" i="14" s="1"/>
  <c r="R104" i="14"/>
  <c r="E117" i="14"/>
  <c r="O127" i="14" a="1"/>
  <c r="O127" i="14" s="1"/>
  <c r="R44" i="14"/>
  <c r="E72" i="14" a="1"/>
  <c r="E72" i="14" s="1"/>
  <c r="J82" i="14" a="1"/>
  <c r="J82" i="14" s="1"/>
  <c r="O82" i="14" a="1"/>
  <c r="O82" i="14" s="1"/>
  <c r="E23" i="9"/>
  <c r="H23" i="9"/>
  <c r="E29" i="9"/>
  <c r="H29" i="9"/>
  <c r="E69" i="14" a="1"/>
  <c r="E69" i="14" s="1"/>
  <c r="R41" i="14"/>
  <c r="R5" i="14"/>
  <c r="C11" i="14"/>
  <c r="E22" i="14" s="1"/>
  <c r="J84" i="14" a="1"/>
  <c r="J84" i="14" s="1"/>
  <c r="O84" i="14" a="1"/>
  <c r="O84" i="14" s="1"/>
  <c r="R43" i="14"/>
  <c r="E71" i="14" a="1"/>
  <c r="E71" i="14" s="1"/>
  <c r="R48" i="14"/>
  <c r="E76" i="14" a="1"/>
  <c r="E76" i="14" s="1"/>
  <c r="R47" i="14"/>
  <c r="E75" i="14" a="1"/>
  <c r="E75" i="14" s="1"/>
  <c r="R42" i="14"/>
  <c r="E70" i="14" a="1"/>
  <c r="E70" i="14" s="1"/>
  <c r="E24" i="9"/>
  <c r="H24" i="9"/>
  <c r="E30" i="9"/>
  <c r="H30" i="9"/>
  <c r="E77" i="14" a="1"/>
  <c r="E77" i="14" s="1"/>
  <c r="R49" i="14"/>
  <c r="E74" i="14" a="1"/>
  <c r="E74" i="14" s="1"/>
  <c r="R46" i="14"/>
  <c r="J85" i="14" a="1"/>
  <c r="J85" i="14" s="1"/>
  <c r="O85" i="14" a="1"/>
  <c r="O85" i="14" s="1"/>
  <c r="J83" i="14" a="1"/>
  <c r="J83" i="14" s="1"/>
  <c r="O83" i="14" a="1"/>
  <c r="O83" i="14" s="1"/>
  <c r="R4" i="14"/>
  <c r="C10" i="14" a="1"/>
  <c r="C10" i="14" s="1"/>
  <c r="D10" i="14" s="1"/>
  <c r="E21" i="14" s="1"/>
  <c r="R3" i="14"/>
  <c r="C9" i="14"/>
  <c r="D9" i="14" s="1"/>
  <c r="E20" i="14" s="1"/>
  <c r="R45" i="14"/>
  <c r="E73" i="14" a="1"/>
  <c r="E73" i="14" s="1"/>
  <c r="I8" i="14"/>
  <c r="J8" i="14" s="1"/>
  <c r="E26" i="14" s="1"/>
  <c r="R2" i="14"/>
  <c r="E22" i="9"/>
  <c r="H22" i="9"/>
  <c r="E28" i="9"/>
  <c r="H28" i="9"/>
  <c r="E21" i="9"/>
  <c r="H21" i="9"/>
  <c r="E27" i="9"/>
  <c r="H27" i="9"/>
  <c r="H13" i="6"/>
  <c r="K13" i="6" s="1"/>
  <c r="H10" i="6"/>
  <c r="K10" i="6" s="1"/>
  <c r="J131" i="14"/>
  <c r="E131" i="14"/>
  <c r="H27" i="1"/>
  <c r="K27" i="1" s="1"/>
  <c r="H19" i="1"/>
  <c r="K19" i="1" s="1"/>
  <c r="J138" i="14" a="1"/>
  <c r="J138" i="14" s="1"/>
  <c r="J127" i="14"/>
  <c r="K22" i="9"/>
  <c r="K7" i="1"/>
  <c r="H30" i="6"/>
  <c r="K30" i="6" s="1"/>
  <c r="H15" i="6"/>
  <c r="K15" i="6" s="1"/>
  <c r="H6" i="6"/>
  <c r="K6" i="6" s="1"/>
  <c r="H11" i="6"/>
  <c r="K11" i="6" s="1"/>
  <c r="H9" i="6"/>
  <c r="K9" i="6" s="1"/>
  <c r="J128" i="14"/>
  <c r="H29" i="6"/>
  <c r="K29" i="6" s="1"/>
  <c r="M8" i="14"/>
  <c r="N8" i="14" s="1"/>
  <c r="O26" i="14" s="1"/>
  <c r="J122" i="14"/>
  <c r="E127" i="14"/>
  <c r="I9" i="14"/>
  <c r="J9" i="14" s="1"/>
  <c r="E27" i="14" s="1"/>
  <c r="O118" i="14"/>
  <c r="E128" i="14"/>
  <c r="J137" i="14" a="1"/>
  <c r="J137" i="14" s="1"/>
  <c r="J117" i="14"/>
  <c r="K29" i="9"/>
  <c r="K21" i="9"/>
  <c r="K27" i="9"/>
  <c r="M11" i="14"/>
  <c r="O29" i="14" s="1"/>
  <c r="N10" i="14"/>
  <c r="O28" i="14" s="1"/>
  <c r="L10" i="14"/>
  <c r="J28" i="14" s="1"/>
  <c r="L9" i="14"/>
  <c r="J27" i="14" s="1"/>
  <c r="F9" i="14"/>
  <c r="J20" i="14" s="1"/>
  <c r="O11" i="14"/>
  <c r="J36" i="14" s="1"/>
  <c r="O9" i="14"/>
  <c r="P9" i="14" s="1"/>
  <c r="J34" i="14" s="1"/>
  <c r="L8" i="14"/>
  <c r="J26" i="14" s="1"/>
  <c r="G8" i="14"/>
  <c r="H8" i="14" s="1"/>
  <c r="O19" i="14" s="1"/>
  <c r="K24" i="9"/>
  <c r="I20" i="5"/>
  <c r="L20" i="5" s="1"/>
  <c r="K30" i="9"/>
  <c r="L11" i="5"/>
  <c r="J6" i="9" l="1"/>
  <c r="K6" i="9" s="1"/>
  <c r="J7" i="9"/>
  <c r="K7" i="9" s="1"/>
  <c r="J8" i="9"/>
  <c r="K8" i="9" s="1"/>
  <c r="J9" i="9"/>
  <c r="K9" i="9" s="1"/>
</calcChain>
</file>

<file path=xl/sharedStrings.xml><?xml version="1.0" encoding="utf-8"?>
<sst xmlns="http://schemas.openxmlformats.org/spreadsheetml/2006/main" count="2562" uniqueCount="429">
  <si>
    <t>Press the button below before pasting anything</t>
  </si>
  <si>
    <t>1. To start with complete a "Key Item" Stock Count, specifically counting the items that you need to order today, do not tick boxes of any other items.
2. If you have any red variances, go and double check your count to see if you have missed anything</t>
  </si>
  <si>
    <t>3. Once you have completed the stock count, head into "Reports" &gt; "Report Selection" &gt; "Supply Chain". From there you can select 2 reports
4. The first "Items On Hand" will require you to select tomorrow as the start date, then you can download it as "Excel Data Only" before pasting all the data into the "STOCK ON HAND" tab.
5. For the "Items On Order" report you will need to select Monday last week as the start date and Sunday 2 weeks from now as the End date, then download as "Excel Data Only", copy all that data into the "STOCK ON ORDER" tab</t>
  </si>
  <si>
    <t>^This will be updated with Spot Count when available^</t>
  </si>
  <si>
    <t>Once you have followed steps 1-5 all the numbers for your stock counts should be filled in, follow them!</t>
  </si>
  <si>
    <t>ITEM NAME</t>
  </si>
  <si>
    <t>MONDAY</t>
  </si>
  <si>
    <t>TUESDAY</t>
  </si>
  <si>
    <t>WEDNESDAY</t>
  </si>
  <si>
    <t>THURSDAY</t>
  </si>
  <si>
    <t>FRIDAY</t>
  </si>
  <si>
    <t>SATURDAY</t>
  </si>
  <si>
    <t>SUNDAY</t>
  </si>
  <si>
    <t>DAILY AVG</t>
  </si>
  <si>
    <t>TOSTADA</t>
  </si>
  <si>
    <t>TACO</t>
  </si>
  <si>
    <t>CINNAMON TWISTS</t>
  </si>
  <si>
    <t>CHIP NACHO CORN</t>
  </si>
  <si>
    <t># OF BAGS</t>
  </si>
  <si>
    <t># OF TRAYS</t>
  </si>
  <si>
    <t>QUICK GUIDE</t>
  </si>
  <si>
    <t>TOSTADAS</t>
  </si>
  <si>
    <t>2 REDS CUP = 1 TRAY</t>
  </si>
  <si>
    <t>TACOS</t>
  </si>
  <si>
    <t>NACHO CHIPS</t>
  </si>
  <si>
    <t>1 BOX = 1.5 LARGE TUBS</t>
  </si>
  <si>
    <t xml:space="preserve">Bags Per Tray </t>
  </si>
  <si>
    <t>NACHOS</t>
  </si>
  <si>
    <t>WEEKLY FRY PREP BUILD TOS</t>
  </si>
  <si>
    <t>Data Range:</t>
  </si>
  <si>
    <t>ITEM</t>
  </si>
  <si>
    <t>AMOUNT</t>
  </si>
  <si>
    <t>VALUES FOR TRAYS ROUNDED UP BASED OFF MAKING 5 ROWS OF 16 TACOS (2 BASKETS PER ROW, 80 TACOS PER TRAY)</t>
  </si>
  <si>
    <t>CREAM SOUR</t>
  </si>
  <si>
    <t>ZESTY</t>
  </si>
  <si>
    <t>CHIPOTLE</t>
  </si>
  <si>
    <t>LAVA</t>
  </si>
  <si>
    <t>CREAMY J</t>
  </si>
  <si>
    <t>MILD</t>
  </si>
  <si>
    <t>FIRE</t>
  </si>
  <si>
    <t>TB FIESTA SALSA (FINISHED PRODUCT)</t>
  </si>
  <si>
    <t>TB GUACAMOLE (FINISHED PRODUCT)</t>
  </si>
  <si>
    <t>WEEKLY SALAD PREP BUILD TOS</t>
  </si>
  <si>
    <t>SOUR CREAM</t>
  </si>
  <si>
    <t>ZESTY RANCH</t>
  </si>
  <si>
    <t>LAVA SAUCE</t>
  </si>
  <si>
    <t>CREAM J</t>
  </si>
  <si>
    <t>MILD SAUCE</t>
  </si>
  <si>
    <t>FIRE SAUCE</t>
  </si>
  <si>
    <t>FIESTA</t>
  </si>
  <si>
    <t>GUAC</t>
  </si>
  <si>
    <t>12INCH</t>
  </si>
  <si>
    <t>10.25INCH</t>
  </si>
  <si>
    <t>6.5INCH</t>
  </si>
  <si>
    <t>FlatBread</t>
  </si>
  <si>
    <t>CORN 6 INCH</t>
  </si>
  <si>
    <t>CHIP NACHO</t>
  </si>
  <si>
    <t>BEEF</t>
  </si>
  <si>
    <t>WEEKLY THAWING  BUILD TOS</t>
  </si>
  <si>
    <t>12 INCHES</t>
  </si>
  <si>
    <t>10 INCHES</t>
  </si>
  <si>
    <t>6 INCHES</t>
  </si>
  <si>
    <t>FLATBREADS</t>
  </si>
  <si>
    <t>DRY STOCK BUILD TO GUIDE</t>
  </si>
  <si>
    <t>MMX item codes</t>
  </si>
  <si>
    <t>ORDER FORM CODE</t>
  </si>
  <si>
    <t>PER PACK</t>
  </si>
  <si>
    <t>1 DAY USAGE</t>
  </si>
  <si>
    <t>ON HAND</t>
  </si>
  <si>
    <t>DAYS HOLDING</t>
  </si>
  <si>
    <t>ON ORDER</t>
  </si>
  <si>
    <t>10 DAY BUILD TO</t>
  </si>
  <si>
    <t>NEED</t>
  </si>
  <si>
    <t>SAUCE FIRE 10X1KG</t>
  </si>
  <si>
    <t>BAG CHIPS LARGE</t>
  </si>
  <si>
    <t>LARGE CHIP BAGS</t>
  </si>
  <si>
    <t>39944A</t>
  </si>
  <si>
    <t>BAG CHIPS REGULAR</t>
  </si>
  <si>
    <t>REGULAR CHIP BAGS</t>
  </si>
  <si>
    <t>39943A</t>
  </si>
  <si>
    <t>BAG CRUNCHWRAP</t>
  </si>
  <si>
    <t>CRUNCHWRAP BAGS</t>
  </si>
  <si>
    <t>BAG NACHO CHIPS LARGE</t>
  </si>
  <si>
    <t>NACHO CHIP BAGS</t>
  </si>
  <si>
    <t>BAG TAKEAWAY BROWN LARGE 2</t>
  </si>
  <si>
    <t>LARGE TAKEAWAY BAGS</t>
  </si>
  <si>
    <t>BAG TAKEAWAY BROWN MEDIUM</t>
  </si>
  <si>
    <t>MEDIUM TAKEAWAY BAGS</t>
  </si>
  <si>
    <t>BIG BELL BOX 2</t>
  </si>
  <si>
    <t>BIG BELL BOX</t>
  </si>
  <si>
    <t>CANTINA BROWN BOX</t>
  </si>
  <si>
    <t>CANTINA BOX</t>
  </si>
  <si>
    <t>40062A</t>
  </si>
  <si>
    <t>CUP FCB 590 ML CH</t>
  </si>
  <si>
    <t>FROZEN CUPS</t>
  </si>
  <si>
    <t>CUP POSTMIX LARGE</t>
  </si>
  <si>
    <t>LARGE CUPS</t>
  </si>
  <si>
    <t>CUP POSTMIX REGULAR</t>
  </si>
  <si>
    <t>REGULAR CUPS</t>
  </si>
  <si>
    <t>DESSERT CHOCETTES</t>
  </si>
  <si>
    <t>CHOC CHIPS</t>
  </si>
  <si>
    <t>JALAPENO</t>
  </si>
  <si>
    <t>JALAPENOS</t>
  </si>
  <si>
    <t>LID POSTMIX</t>
  </si>
  <si>
    <t>LIDS POSTMIX</t>
  </si>
  <si>
    <t>LID FCB DOME 590 ML CH</t>
  </si>
  <si>
    <t>LIDS FROZEN</t>
  </si>
  <si>
    <t>NAPKINS BROWN RECYCLE</t>
  </si>
  <si>
    <t>NAPKINS</t>
  </si>
  <si>
    <t>RICE LONG GRAIN WHITE</t>
  </si>
  <si>
    <t>RICE</t>
  </si>
  <si>
    <t>37915A</t>
  </si>
  <si>
    <t>SAUCE CHILLI MILD</t>
  </si>
  <si>
    <t>SAUCE CHOCOLATE DA VINCI</t>
  </si>
  <si>
    <t>CHOC SAUCE</t>
  </si>
  <si>
    <t>38163A</t>
  </si>
  <si>
    <t>SEASONING MEXICAN RICE</t>
  </si>
  <si>
    <t>MEX SEASONING</t>
  </si>
  <si>
    <t>STRAW PAPER KFC</t>
  </si>
  <si>
    <t>STRAWS</t>
  </si>
  <si>
    <t>SUGAR CINNAMON 5KG</t>
  </si>
  <si>
    <t>CINNAMON SUGAR</t>
  </si>
  <si>
    <t>DIPPING CUP 60ML</t>
  </si>
  <si>
    <t>DIPPING CUPS</t>
  </si>
  <si>
    <t>LID CLEAR 60ML DIPPING CUP</t>
  </si>
  <si>
    <t>DIPPING CUP LIDS</t>
  </si>
  <si>
    <t>WOODEN FORK</t>
  </si>
  <si>
    <t>FORKS</t>
  </si>
  <si>
    <t>TRAYS DRINKS 4 CUP</t>
  </si>
  <si>
    <t>DRINK TRAYS</t>
  </si>
  <si>
    <t>WRAP LARGE WHITE PRINTED</t>
  </si>
  <si>
    <t>LARGE WRAPS</t>
  </si>
  <si>
    <t>WRAP SMALL WHITE PRINTED</t>
  </si>
  <si>
    <t>SMALL WRAPS</t>
  </si>
  <si>
    <t>WRAP WASTE WHITE UNPRINTED</t>
  </si>
  <si>
    <t>WASTE WRAPS</t>
  </si>
  <si>
    <t>FREEZER BUILD TO GUIDE</t>
  </si>
  <si>
    <t>CRISPY CHICKEN</t>
  </si>
  <si>
    <t>BLACK BEAN</t>
  </si>
  <si>
    <t>38246A</t>
  </si>
  <si>
    <t>NACHO CHIPS (Inc Thawed)</t>
  </si>
  <si>
    <t>CHURROS</t>
  </si>
  <si>
    <t>FLAT BREAD (Inc Thawed)</t>
  </si>
  <si>
    <t>FRIES SUPERCRISP</t>
  </si>
  <si>
    <t>GUACAMOLE</t>
  </si>
  <si>
    <t>BEEF (Inc Thawed)</t>
  </si>
  <si>
    <t>CHICKEN</t>
  </si>
  <si>
    <t>39867A</t>
  </si>
  <si>
    <t>TOSTADAS (Inc Thawed)</t>
  </si>
  <si>
    <t>10.25" TORTS (Inc Thawed)</t>
  </si>
  <si>
    <t>12" TORTS (Inc Thawed)</t>
  </si>
  <si>
    <t>6.5" TORTS (Inc Thawed)</t>
  </si>
  <si>
    <t>FRIDGE BUILD TO GUIDE</t>
  </si>
  <si>
    <t>CHEESE BLEND</t>
  </si>
  <si>
    <t>ANGEL CHEESE</t>
  </si>
  <si>
    <t>FRY OIL</t>
  </si>
  <si>
    <t>CHIPOTLE MAYO</t>
  </si>
  <si>
    <t>CREAMY JALAPENO</t>
  </si>
  <si>
    <t>NACHO CHEESE SAUCE</t>
  </si>
  <si>
    <t>PICO DE GALLO</t>
  </si>
  <si>
    <t>SCHWEPPES BUILD-TO GUIDE</t>
  </si>
  <si>
    <t>SPARKLING WATER</t>
  </si>
  <si>
    <t>RED BULL</t>
  </si>
  <si>
    <t>RED BULL S/FREE</t>
  </si>
  <si>
    <t>RED BULL TROPICAL</t>
  </si>
  <si>
    <t>POP TOP - APPLE</t>
  </si>
  <si>
    <t>POP TOP - ORANGE</t>
  </si>
  <si>
    <t>SPRING VALLEY APPLE</t>
  </si>
  <si>
    <t>7UP BOTTLE</t>
  </si>
  <si>
    <t>7UP CAN</t>
  </si>
  <si>
    <t>7UP BIB</t>
  </si>
  <si>
    <t>FROZEN MOUNTAIN DEW</t>
  </si>
  <si>
    <t>FROZEN PEPSI</t>
  </si>
  <si>
    <t>FROZEN RASPBERRY</t>
  </si>
  <si>
    <t>LEMON ICED TEA</t>
  </si>
  <si>
    <t>PEACH ICED TEA</t>
  </si>
  <si>
    <t>MOUNTAIN DEW BOTTLE</t>
  </si>
  <si>
    <t xml:space="preserve">MOUNTAIN DEW CAN </t>
  </si>
  <si>
    <t>MOUNTAIN DEW BIB</t>
  </si>
  <si>
    <t>PEPSI BOTTLE</t>
  </si>
  <si>
    <t xml:space="preserve">PEPSI CAN </t>
  </si>
  <si>
    <t>PEPSI MAX BOTTLE</t>
  </si>
  <si>
    <t>PEPSI MAX CAN</t>
  </si>
  <si>
    <t>PEPSI MAX BIB</t>
  </si>
  <si>
    <t>PEPSI BIB</t>
  </si>
  <si>
    <t>SOLO BOTTLE</t>
  </si>
  <si>
    <t>SOLO CAN</t>
  </si>
  <si>
    <t>SOLO BIB</t>
  </si>
  <si>
    <t>SUNKIST BOTTLE</t>
  </si>
  <si>
    <t xml:space="preserve">SUNKIST CAN </t>
  </si>
  <si>
    <t>SUNKIST BIB</t>
  </si>
  <si>
    <t>WATER</t>
  </si>
  <si>
    <t>BEGA BUILD-TO GUIDE</t>
  </si>
  <si>
    <t>SOUR CREAM 2KG</t>
  </si>
  <si>
    <t>SOUR CREAM 5KG</t>
  </si>
  <si>
    <t>DARE ICED COFFEE</t>
  </si>
  <si>
    <t>CUT FRESH BUILD-TO GUIDE</t>
  </si>
  <si>
    <t>BUILD TO</t>
  </si>
  <si>
    <t>Buffer</t>
  </si>
  <si>
    <t>LETTUCE</t>
  </si>
  <si>
    <t>SLETT</t>
  </si>
  <si>
    <t>ONION</t>
  </si>
  <si>
    <t>DO4</t>
  </si>
  <si>
    <t>CORIANDER</t>
  </si>
  <si>
    <t>CHOPC</t>
  </si>
  <si>
    <t>TOMATO</t>
  </si>
  <si>
    <t>DTOM4</t>
  </si>
  <si>
    <t>Monday</t>
  </si>
  <si>
    <t>Tuesday</t>
  </si>
  <si>
    <t>Wednesday</t>
  </si>
  <si>
    <t>Thursday</t>
  </si>
  <si>
    <t>Friday</t>
  </si>
  <si>
    <t>Saturday</t>
  </si>
  <si>
    <t>Sunday</t>
  </si>
  <si>
    <t>TOMATO DICED</t>
  </si>
  <si>
    <t>TODAY IS:</t>
  </si>
  <si>
    <t xml:space="preserve">TOMATO </t>
  </si>
  <si>
    <t>THUESDAY For FRIDAY</t>
  </si>
  <si>
    <t>THURSDAY for MONDAY</t>
  </si>
  <si>
    <t>SUNDAY for WEDNESDAY</t>
  </si>
  <si>
    <t>WHAT DAY IS TODAY:</t>
  </si>
  <si>
    <t>Can be overwritten, to set it back to automatic enter =H18</t>
  </si>
  <si>
    <t>MON | WED | FRI DELIVERY</t>
  </si>
  <si>
    <t>TUE | THU | SAT DELIVERY</t>
  </si>
  <si>
    <t>TBA Market 1</t>
  </si>
  <si>
    <t>TBA Area 22</t>
  </si>
  <si>
    <t>3811 Chirnside Park</t>
  </si>
  <si>
    <t>BOX CLAMSHELL MINI</t>
  </si>
  <si>
    <t>EACH</t>
  </si>
  <si>
    <t>DRINK JUICE APPLE SPRING VALLEY</t>
  </si>
  <si>
    <t>DRINK JUICE POP TOP APPLE 250ML</t>
  </si>
  <si>
    <t>DRINK JUICE POP TOP ORANGE 250ML</t>
  </si>
  <si>
    <t>DRINK WATER SPARKLING 500ML</t>
  </si>
  <si>
    <t>DRINK RED BULL ED 250ML</t>
  </si>
  <si>
    <t>DRINK RED BULL S/FREE 250ML</t>
  </si>
  <si>
    <t>DRINK RED BULL TROPICAL 250ML</t>
  </si>
  <si>
    <t>KG</t>
  </si>
  <si>
    <t>SAUCE CARAMEL MONIN 1.89L</t>
  </si>
  <si>
    <t>LITRE</t>
  </si>
  <si>
    <t>260 x 260mm Baking Paper Golden Silidor</t>
  </si>
  <si>
    <t>4OZ PORTION CUP 50EA</t>
  </si>
  <si>
    <t>4OZ PORTION CUP LID 50EA</t>
  </si>
  <si>
    <t>DRINK PEPSI MAX 600ML</t>
  </si>
  <si>
    <t>DRINK PEPSI CAN</t>
  </si>
  <si>
    <t>DRINK PEPSI POST MIX</t>
  </si>
  <si>
    <t>DRINK 7UP BIB 15L</t>
  </si>
  <si>
    <t>CREAM SOUR LIGHT</t>
  </si>
  <si>
    <t>LETTUCE SHREDDED</t>
  </si>
  <si>
    <t>DRINK WATER 600ML PET</t>
  </si>
  <si>
    <t>DRINK PEPSI MAX CAN</t>
  </si>
  <si>
    <t>DRINK 7UP CAN</t>
  </si>
  <si>
    <t>DRINK MOUNTAIN DEW CAN</t>
  </si>
  <si>
    <t>DRINK MOUNTAIN DEW BIB 15L</t>
  </si>
  <si>
    <t>DRINK PEPSI 600ML</t>
  </si>
  <si>
    <t>FRIES SURECRISP</t>
  </si>
  <si>
    <t>ONION BROWN DICED</t>
  </si>
  <si>
    <t>DRINK SUNKIST ORANGE CAN</t>
  </si>
  <si>
    <t>DRINK SOLO CAN</t>
  </si>
  <si>
    <t>DRINK PEPSI MAX BIB 10L</t>
  </si>
  <si>
    <t>DRINK 7UP 600ML PET</t>
  </si>
  <si>
    <t>DRINK MOUNTAIN DEW 600ML PET</t>
  </si>
  <si>
    <t>DRINK SOLO LEMON 600ML PET</t>
  </si>
  <si>
    <t>DRINK SUNKIST ORANGE 600ML</t>
  </si>
  <si>
    <t>DRINK SUNKIST ORANGE BIB 15L</t>
  </si>
  <si>
    <t>DRINK SOLO LEMON BIB 15L</t>
  </si>
  <si>
    <t>SAUCE TOMATO SQUEEZE</t>
  </si>
  <si>
    <t>OIL FRYING LIQUID CARGILL</t>
  </si>
  <si>
    <t>DRINK FCB FREEZE PEPSI 10L</t>
  </si>
  <si>
    <t>DRINK FCB FREEZE MOUNTAIN DEW 10L</t>
  </si>
  <si>
    <t>BEANS BLACK COOKED</t>
  </si>
  <si>
    <t>CHEESE BLEND MOZZ/CHEDD (PIZZA) SHRED</t>
  </si>
  <si>
    <t>TORTILLA CORN 6 INCH</t>
  </si>
  <si>
    <t>FLATBREAD</t>
  </si>
  <si>
    <t>CHURROS MINI</t>
  </si>
  <si>
    <t>SAUCE NACHO CHEESE</t>
  </si>
  <si>
    <t>CHEESE CHEDD ANGEL HAIR/ S'FINE SHRED</t>
  </si>
  <si>
    <t>SAUCE PICO DE GALLO 100GM</t>
  </si>
  <si>
    <t>TORTILLA FLOUR 10.25INCH</t>
  </si>
  <si>
    <t>TORTILLA FLOUR 12INCH</t>
  </si>
  <si>
    <t>TORTILLA FLOUR 6.5INCH</t>
  </si>
  <si>
    <t>BAG TAKEAWAY BROWN SMALL</t>
  </si>
  <si>
    <t>BAG MULTIPURPOSE</t>
  </si>
  <si>
    <t>DRINK DARE ICED COFFEE DOUBLE</t>
  </si>
  <si>
    <t>TB TACO SHELLS (FINISHED PRODUCT)</t>
  </si>
  <si>
    <t>TB LIME SLICES (FINISHED PRODUCT)</t>
  </si>
  <si>
    <t>SAUCE ZESTY RANCH 1</t>
  </si>
  <si>
    <t>SAUCE CHIPOTLE MAYO 1</t>
  </si>
  <si>
    <t>DRINK FCB FREEZE TRAD RASPBERRY 10L</t>
  </si>
  <si>
    <t>SALAD CORIANDER CHOPPED</t>
  </si>
  <si>
    <t>DRINK LIPTON ICE TEA LEMON 500ML</t>
  </si>
  <si>
    <t>DRINK LIPTON ICE TEA PEACH</t>
  </si>
  <si>
    <t>SAUCE CREAMY JALAPENO</t>
  </si>
  <si>
    <t>SAUCE SACHET MILD</t>
  </si>
  <si>
    <t>MEAT CHICKEN COOKED</t>
  </si>
  <si>
    <t>MEAT BEEF COOKED</t>
  </si>
  <si>
    <t>CHICKEN CRISPY</t>
  </si>
  <si>
    <t>Grand Total:</t>
  </si>
  <si>
    <t>TacoBellAU - Strictly Confidential</t>
  </si>
  <si>
    <t>AMERICOLD Vic</t>
  </si>
  <si>
    <t>GLOVE NITRILE LARGE10X100</t>
  </si>
  <si>
    <t>CARTON-10x100</t>
  </si>
  <si>
    <t>GUACAMOLE 6x1.5KG</t>
  </si>
  <si>
    <t>CARTON-6x1.5KG</t>
  </si>
  <si>
    <t>TB SAUCE CHILLI MILD 10X1KG</t>
  </si>
  <si>
    <t>CARTON-10x1KG</t>
  </si>
  <si>
    <t>TB TORTILLA CORN 6 INCH 12x36EA</t>
  </si>
  <si>
    <t>CARTON-12x36</t>
  </si>
  <si>
    <t>TB WRAP LARGE WHITE PRINTED 3000EA</t>
  </si>
  <si>
    <t>CARTON-3000</t>
  </si>
  <si>
    <t>TB SAUCE NACHO CHEESE 6X1.8KG</t>
  </si>
  <si>
    <t>CARTON-6x1.8KG</t>
  </si>
  <si>
    <t>TB CHEESE CHEDD ANGEL HAIR/ S'FINE SHRED 6x2KG</t>
  </si>
  <si>
    <t>CARTON-6x2KG</t>
  </si>
  <si>
    <t>RICE LONG GRAIN WHITE 10KG</t>
  </si>
  <si>
    <t>BAG-10KG</t>
  </si>
  <si>
    <t>TB TORTILLA FLOUR 10.25INCH 12x12EA</t>
  </si>
  <si>
    <t>CARTON-12x12</t>
  </si>
  <si>
    <t>TB TORTILLA FLOUR 12INCH 12x12EA</t>
  </si>
  <si>
    <t>TB TORTILLA FLOUR 6.5INCH 24x12EA</t>
  </si>
  <si>
    <t>CARTON-24x12</t>
  </si>
  <si>
    <t>TB BAG TAKEAWAY BROWN MEDIUM 1000EA</t>
  </si>
  <si>
    <t>CARTON-1000</t>
  </si>
  <si>
    <t>TB BAG TAKEAWAY BROWN LARGE 250EA</t>
  </si>
  <si>
    <t>CARTON-250</t>
  </si>
  <si>
    <t>CARTON-12x500</t>
  </si>
  <si>
    <t>TOWEL PAPER HAND TORK WHITE 6 ROLLS</t>
  </si>
  <si>
    <t>CARTON-6</t>
  </si>
  <si>
    <t>BEANS BLACK COOKED TB 12 x 1KG</t>
  </si>
  <si>
    <t>CARTON-12x1KG</t>
  </si>
  <si>
    <t>TB SAUCE ZESTY RANCH 15X1KG</t>
  </si>
  <si>
    <t>CARTON-15x1KG</t>
  </si>
  <si>
    <t>TB SAUCE CHIPOTLE MAYO 15X1KG</t>
  </si>
  <si>
    <t>BIN LINER 240L H/DUTY 8X25 EA</t>
  </si>
  <si>
    <t>CARTON-8x25</t>
  </si>
  <si>
    <t>TB FLATBREAD 12X12EA</t>
  </si>
  <si>
    <t>CARTON-24X6</t>
  </si>
  <si>
    <t>TB CUP POSTMIX REGULAR 1000EA NEW</t>
  </si>
  <si>
    <t>TB BIG BELL BOX 250EA</t>
  </si>
  <si>
    <t>TB CHIP NACHO 4.5KG</t>
  </si>
  <si>
    <t>CARTON-4.5KG</t>
  </si>
  <si>
    <t>TB MEAT BEEF COOKED 8X1.85KG</t>
  </si>
  <si>
    <t>CARTON-8x1.85KG</t>
  </si>
  <si>
    <t>TB DIPPING CUP 60ML 1000EA</t>
  </si>
  <si>
    <t>TB MEAT CHICKEN COOKED 10X600GM</t>
  </si>
  <si>
    <t>CARTON-10X600GM</t>
  </si>
  <si>
    <t>TB BAG CRUNCHWRAP 2000EA</t>
  </si>
  <si>
    <t>CARTON-2000</t>
  </si>
  <si>
    <t>TB BAG CHIP REGULAR 3000EA</t>
  </si>
  <si>
    <t>TB BOX CANTINA 200EA</t>
  </si>
  <si>
    <t>CARTON-200</t>
  </si>
  <si>
    <t>FRIES SURECRISP 6X2KG</t>
  </si>
  <si>
    <t>TB CHEESE 4 BLEND 6X2KG</t>
  </si>
  <si>
    <t>TB CHICKEN CRISPY 6X41EA</t>
  </si>
  <si>
    <t>CARTON-6x41</t>
  </si>
  <si>
    <t>WIPING CLOTH BLUE 350EA</t>
  </si>
  <si>
    <t>CARTON-350</t>
  </si>
  <si>
    <t>OIL FRYING LIQUID 15KG</t>
  </si>
  <si>
    <t>CARTON-15KG</t>
  </si>
  <si>
    <t>CUP 590ML FCB 1000PK</t>
  </si>
  <si>
    <t>Cut Fresh NSW</t>
  </si>
  <si>
    <t>TB SALAD CORIANDER CHOPPED 1X500GM</t>
  </si>
  <si>
    <t>BAG-500GM</t>
  </si>
  <si>
    <t>ONION BROWN DICED 4x1KG</t>
  </si>
  <si>
    <t>CARTON-4x1KG</t>
  </si>
  <si>
    <t>TOMATO DICED 4x1KG</t>
  </si>
  <si>
    <t>LETTUCE SHREDDED 4x2KG</t>
  </si>
  <si>
    <t>CARTON-4x2KG</t>
  </si>
  <si>
    <t>SCHWEPPES VIC</t>
  </si>
  <si>
    <t>DRINK PEPSI MAX CAN 30EA</t>
  </si>
  <si>
    <t>CARTON-30</t>
  </si>
  <si>
    <t>CARTON-15L</t>
  </si>
  <si>
    <t>DRINK WATER 600ML PET 24EA</t>
  </si>
  <si>
    <t>CARTON-24</t>
  </si>
  <si>
    <t>DRINK SUNKIST ORANGE CAN 30EA</t>
  </si>
  <si>
    <t>DRINK LIPTON ICE TEA PEACH 24X500ML</t>
  </si>
  <si>
    <t>DRINK RED BULL ED 24X250ML</t>
  </si>
  <si>
    <t>DRINK RED BULL S/FREE 24X250ML</t>
  </si>
  <si>
    <t>DRINK 7UP CAN 30EA</t>
  </si>
  <si>
    <t>DRINK PEPSI MAX 600ML PET 24EA</t>
  </si>
  <si>
    <t>CARTON-10L</t>
  </si>
  <si>
    <t>Textbox2</t>
  </si>
  <si>
    <t>Textbox7</t>
  </si>
  <si>
    <t>Textbox1</t>
  </si>
  <si>
    <t>Textbox5</t>
  </si>
  <si>
    <t>Textbox3</t>
  </si>
  <si>
    <t>Textbox8</t>
  </si>
  <si>
    <t>Textbox9</t>
  </si>
  <si>
    <t>Textbox10</t>
  </si>
  <si>
    <t>Textbox11</t>
  </si>
  <si>
    <t>Textbox12</t>
  </si>
  <si>
    <t>ItemCode</t>
  </si>
  <si>
    <t>Description</t>
  </si>
  <si>
    <t>Unit</t>
  </si>
  <si>
    <t>Day1</t>
  </si>
  <si>
    <t>Day2</t>
  </si>
  <si>
    <t>Day3</t>
  </si>
  <si>
    <t>Day4</t>
  </si>
  <si>
    <t>Day5</t>
  </si>
  <si>
    <t>Day6</t>
  </si>
  <si>
    <t>Day7</t>
  </si>
  <si>
    <t>Item Code</t>
  </si>
  <si>
    <t>Item</t>
  </si>
  <si>
    <t>Thursday
14-May-26</t>
  </si>
  <si>
    <t>Friday
15-May-26</t>
  </si>
  <si>
    <t>Saturday
16-May-26</t>
  </si>
  <si>
    <t>Sunday
17-May-26</t>
  </si>
  <si>
    <t>Monday
18-May-26</t>
  </si>
  <si>
    <t>Tuesday
19-May-26</t>
  </si>
  <si>
    <t>Wednesday
20-May-26</t>
  </si>
  <si>
    <t>CARTON-500</t>
  </si>
  <si>
    <t>CARTON-72</t>
  </si>
  <si>
    <t>CARTON-4X5KG</t>
  </si>
  <si>
    <t>EACH-5KG</t>
  </si>
  <si>
    <t>CARTON-2x2.5KG</t>
  </si>
  <si>
    <t>CARTON-18</t>
  </si>
  <si>
    <t>CARTON-12</t>
  </si>
  <si>
    <t>CARTON-6x2.3KG</t>
  </si>
  <si>
    <t>CARTON-4X2.5KG</t>
  </si>
  <si>
    <t>CARTON-4x1.89L</t>
  </si>
  <si>
    <t>CARTON-3x2L</t>
  </si>
  <si>
    <t>CARTON-12x500GM</t>
  </si>
  <si>
    <t>CARTON-4000</t>
  </si>
  <si>
    <t>CARTON-5x2.5KG</t>
  </si>
  <si>
    <t>GRAM-1GM</t>
  </si>
  <si>
    <t>TB MEXICAN RICE (FINISHED PRODUCT)</t>
  </si>
  <si>
    <t>TB TOMATO DICED (FINISHED PRODUCT)</t>
  </si>
  <si>
    <t>TB TOSTADA (FINISHED PRODUCT)</t>
  </si>
  <si>
    <t>CARTON-100</t>
  </si>
  <si>
    <t>CARTON-5x1000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</si>
</sst>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m/d/yy;@"/>
    <numFmt numFmtId="166" formatCode="[$$-C09]#,##0.00"/>
  </numFmts>
  <fonts count="48" x14ac:knownFonts="1">
    <font>
      <sz val="11"/>
      <color theme="1"/>
      <name val="Calibri"/>
      <family val="2"/>
      <scheme val="minor"/>
    </font>
    <font>
      <b/>
      <sz val="18"/>
      <color theme="0"/>
      <name val="Calibri"/>
      <family val="2"/>
      <scheme val="minor"/>
    </font>
    <font>
      <b/>
      <sz val="11"/>
      <color theme="1"/>
      <name val="Calibri"/>
      <family val="2"/>
      <scheme val="minor"/>
    </font>
    <font>
      <b/>
      <sz val="36"/>
      <color theme="1"/>
      <name val="Calibri"/>
      <family val="2"/>
      <scheme val="minor"/>
    </font>
    <font>
      <b/>
      <sz val="12"/>
      <color theme="0"/>
      <name val="Calibri"/>
      <family val="2"/>
      <scheme val="minor"/>
    </font>
    <font>
      <sz val="10"/>
      <name val="Calibri"/>
      <family val="2"/>
      <scheme val="minor"/>
    </font>
    <font>
      <sz val="10"/>
      <color theme="1"/>
      <name val="Calibri"/>
      <family val="2"/>
      <scheme val="minor"/>
    </font>
    <font>
      <sz val="12"/>
      <color theme="0"/>
      <name val="Calibri"/>
      <family val="2"/>
      <scheme val="minor"/>
    </font>
    <font>
      <sz val="8"/>
      <name val="Calibri"/>
      <family val="2"/>
      <scheme val="minor"/>
    </font>
    <font>
      <b/>
      <sz val="8"/>
      <color theme="0"/>
      <name val="Arial"/>
      <family val="2"/>
    </font>
    <font>
      <sz val="8"/>
      <name val="Arial"/>
      <family val="2"/>
    </font>
    <font>
      <b/>
      <sz val="24"/>
      <color theme="0"/>
      <name val="Calibri"/>
      <family val="2"/>
      <scheme val="minor"/>
    </font>
    <font>
      <b/>
      <sz val="12"/>
      <color rgb="FF9159BD"/>
      <name val="Calibri"/>
      <family val="2"/>
      <scheme val="minor"/>
    </font>
    <font>
      <b/>
      <sz val="11"/>
      <color rgb="FF9159BD"/>
      <name val="Calibri"/>
      <family val="2"/>
      <scheme val="minor"/>
    </font>
    <font>
      <b/>
      <sz val="10"/>
      <name val="Arial"/>
      <family val="2"/>
    </font>
    <font>
      <b/>
      <sz val="8"/>
      <color theme="0"/>
      <name val="Calibri"/>
      <family val="2"/>
      <scheme val="minor"/>
    </font>
    <font>
      <sz val="8"/>
      <color theme="0"/>
      <name val="Calibri"/>
      <family val="2"/>
      <scheme val="minor"/>
    </font>
    <font>
      <b/>
      <sz val="8"/>
      <name val="Calibri"/>
      <family val="2"/>
      <scheme val="minor"/>
    </font>
    <font>
      <b/>
      <sz val="8"/>
      <color theme="1"/>
      <name val="Calibri"/>
      <family val="2"/>
      <scheme val="minor"/>
    </font>
    <font>
      <sz val="8"/>
      <color theme="1"/>
      <name val="Calibri"/>
      <family val="2"/>
      <scheme val="minor"/>
    </font>
    <font>
      <b/>
      <sz val="8"/>
      <name val="Arial"/>
      <family val="2"/>
    </font>
    <font>
      <sz val="10"/>
      <color theme="0" tint="-0.499984740745262"/>
      <name val="Calibri"/>
      <family val="2"/>
      <scheme val="minor"/>
    </font>
    <font>
      <sz val="10"/>
      <color theme="1" tint="0.499984740745262"/>
      <name val="Calibri"/>
      <family val="2"/>
      <scheme val="minor"/>
    </font>
    <font>
      <b/>
      <sz val="14"/>
      <color theme="1"/>
      <name val="Calibri"/>
      <family val="2"/>
      <scheme val="minor"/>
    </font>
    <font>
      <b/>
      <sz val="20"/>
      <color theme="1"/>
      <name val="Calibri"/>
      <family val="2"/>
      <scheme val="minor"/>
    </font>
    <font>
      <b/>
      <sz val="24"/>
      <color rgb="FFFFFFFF"/>
      <name val="Calibri Light"/>
      <family val="2"/>
    </font>
    <font>
      <b/>
      <sz val="22"/>
      <color theme="1"/>
      <name val="Calibri Light"/>
      <family val="2"/>
      <scheme val="major"/>
    </font>
    <font>
      <sz val="8"/>
      <name val="Calibri"/>
      <family val="2"/>
    </font>
    <font>
      <b/>
      <sz val="10"/>
      <name val="Calibri"/>
      <family val="2"/>
    </font>
    <font>
      <sz val="10"/>
      <name val="Calibri"/>
      <family val="2"/>
    </font>
    <font>
      <sz val="8"/>
      <color rgb="FF000000"/>
      <name val="Arial"/>
      <family val="2"/>
    </font>
    <font>
      <sz val="10"/>
      <color rgb="FF000000"/>
      <name val="Calibri"/>
      <family val="2"/>
    </font>
    <font>
      <sz val="10"/>
      <name val="Arial"/>
      <family val="2"/>
    </font>
    <font>
      <b/>
      <sz val="22"/>
      <color rgb="FF000000"/>
      <name val="Calibri Light"/>
      <family val="2"/>
    </font>
    <font>
      <b/>
      <sz val="24"/>
      <color theme="0"/>
      <name val="Calibri Light"/>
      <family val="2"/>
      <scheme val="major"/>
    </font>
    <font>
      <sz val="8"/>
      <color rgb="FF000000"/>
      <name val="Calibri"/>
      <family val="2"/>
      <scheme val="minor"/>
    </font>
    <font>
      <sz val="10"/>
      <color rgb="FF000000"/>
      <name val="Calibri"/>
      <family val="2"/>
      <scheme val="minor"/>
    </font>
    <font>
      <sz val="7"/>
      <color rgb="FF000000"/>
      <name val="Arial"/>
      <family val="2"/>
    </font>
    <font>
      <sz val="11"/>
      <color rgb="FFFFFFFF"/>
      <name val="Calibri"/>
      <family val="2"/>
    </font>
    <font>
      <sz val="12"/>
      <color rgb="FFFFFFFF"/>
      <name val="Calibri"/>
      <family val="2"/>
    </font>
    <font>
      <b/>
      <sz val="10"/>
      <name val="Calibri"/>
      <family val="2"/>
      <scheme val="minor"/>
    </font>
    <font>
      <sz val="20"/>
      <color theme="0"/>
      <name val="Calibri"/>
      <family val="2"/>
      <scheme val="minor"/>
    </font>
    <font>
      <i/>
      <sz val="11"/>
      <color theme="1"/>
      <name val="Calibri"/>
      <family val="2"/>
      <scheme val="minor"/>
    </font>
    <font>
      <b/>
      <sz val="22"/>
      <color theme="1"/>
      <name val="Calibri"/>
      <family val="2"/>
      <scheme val="minor"/>
    </font>
    <font>
      <sz val="10"/>
      <color indexed="8"/>
      <name val="ARIAL"/>
      <charset val="1"/>
    </font>
    <font>
      <sz val="10"/>
      <color rgb="FF000000"/>
      <name val="ARIAL"/>
      <charset val="1"/>
    </font>
    <font>
      <sz val="10"/>
      <color indexed="8"/>
      <name val="Arial"/>
      <family val="2"/>
    </font>
    <font>
      <sz val="11"/>
      <color rgb="FF000000"/>
      <name val="Aptos Narrow"/>
      <family val="2"/>
    </font>
  </fonts>
  <fills count="15">
    <fill>
      <patternFill patternType="none"/>
    </fill>
    <fill>
      <patternFill patternType="gray125"/>
    </fill>
    <fill>
      <patternFill patternType="solid">
        <fgColor rgb="FF7030A0"/>
        <bgColor indexed="64"/>
      </patternFill>
    </fill>
    <fill>
      <patternFill patternType="solid">
        <fgColor rgb="FFFFFF00"/>
        <bgColor indexed="64"/>
      </patternFill>
    </fill>
    <fill>
      <patternFill patternType="solid">
        <fgColor rgb="FFA77BCA"/>
        <bgColor indexed="64"/>
      </patternFill>
    </fill>
    <fill>
      <patternFill patternType="solid">
        <fgColor theme="1"/>
        <bgColor indexed="64"/>
      </patternFill>
    </fill>
    <fill>
      <patternFill patternType="solid">
        <fgColor theme="2"/>
        <bgColor indexed="64"/>
      </patternFill>
    </fill>
    <fill>
      <patternFill patternType="solid">
        <fgColor rgb="FF7030A0"/>
        <bgColor rgb="FF000000"/>
      </patternFill>
    </fill>
    <fill>
      <patternFill patternType="solid">
        <fgColor rgb="FFF4F4F4"/>
        <bgColor indexed="64"/>
      </patternFill>
    </fill>
    <fill>
      <patternFill patternType="solid">
        <fgColor rgb="FFF2F2F2"/>
        <bgColor indexed="64"/>
      </patternFill>
    </fill>
    <fill>
      <patternFill patternType="solid">
        <fgColor rgb="FFFFFFFF"/>
        <bgColor rgb="FF000000"/>
      </patternFill>
    </fill>
    <fill>
      <patternFill patternType="solid">
        <fgColor theme="0" tint="-0.14999847407452621"/>
        <bgColor indexed="64"/>
      </patternFill>
    </fill>
    <fill>
      <patternFill patternType="solid">
        <fgColor rgb="FFD9D9D9"/>
        <bgColor indexed="64"/>
      </patternFill>
    </fill>
    <fill>
      <patternFill patternType="solid">
        <fgColor theme="0" tint="-0.34998626667073579"/>
        <bgColor indexed="64"/>
      </patternFill>
    </fill>
    <fill>
      <patternFill patternType="solid">
        <fgColor rgb="FF757171"/>
        <bgColor indexed="64"/>
      </patternFill>
    </fill>
  </fills>
  <borders count="33">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rgb="FF000000"/>
      </right>
      <top style="thin">
        <color rgb="FF000000"/>
      </top>
      <bottom/>
      <diagonal/>
    </border>
    <border>
      <left style="thin">
        <color indexed="64"/>
      </left>
      <right style="thin">
        <color indexed="64"/>
      </right>
      <top style="thin">
        <color indexed="64"/>
      </top>
      <bottom/>
      <diagonal/>
    </border>
    <border>
      <left/>
      <right/>
      <top/>
      <bottom style="thin">
        <color rgb="FF000000"/>
      </bottom>
      <diagonal/>
    </border>
    <border>
      <left/>
      <right/>
      <top/>
      <bottom style="medium">
        <color rgb="FFFFFFFF"/>
      </bottom>
      <diagonal/>
    </border>
    <border>
      <left/>
      <right/>
      <top/>
      <bottom style="medium">
        <color rgb="FFF2F2F2"/>
      </bottom>
      <diagonal/>
    </border>
    <border>
      <left/>
      <right/>
      <top style="thin">
        <color rgb="FF000000"/>
      </top>
      <bottom/>
      <diagonal/>
    </border>
    <border>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1">
    <xf numFmtId="0" fontId="0" fillId="0" borderId="0"/>
  </cellStyleXfs>
  <cellXfs count="254">
    <xf numFmtId="0" fontId="0" fillId="0" borderId="0" xfId="0"/>
    <xf numFmtId="0" fontId="0" fillId="0" borderId="0" xfId="0" applyAlignment="1">
      <alignment horizontal="center"/>
    </xf>
    <xf numFmtId="0" fontId="0" fillId="0" borderId="0" xfId="0" applyAlignment="1">
      <alignment horizontal="center" vertical="center"/>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0" xfId="0" applyAlignment="1">
      <alignment wrapText="1"/>
    </xf>
    <xf numFmtId="0" fontId="3" fillId="0" borderId="0" xfId="0" applyFont="1" applyAlignment="1">
      <alignment vertical="center" textRotation="90"/>
    </xf>
    <xf numFmtId="0" fontId="4" fillId="2" borderId="10" xfId="0" applyFont="1" applyFill="1" applyBorder="1" applyAlignment="1">
      <alignment horizontal="center" vertical="center"/>
    </xf>
    <xf numFmtId="164" fontId="4" fillId="2" borderId="10" xfId="0" applyNumberFormat="1" applyFont="1" applyFill="1" applyBorder="1" applyAlignment="1">
      <alignment horizontal="center" vertical="center"/>
    </xf>
    <xf numFmtId="0" fontId="5" fillId="0" borderId="13" xfId="0" applyFont="1" applyBorder="1" applyAlignment="1">
      <alignment horizontal="center"/>
    </xf>
    <xf numFmtId="164" fontId="6" fillId="0" borderId="10" xfId="0" applyNumberFormat="1" applyFont="1" applyBorder="1" applyAlignment="1">
      <alignment horizontal="center"/>
    </xf>
    <xf numFmtId="0" fontId="5" fillId="0" borderId="0" xfId="0" applyFont="1" applyAlignment="1">
      <alignment horizontal="center"/>
    </xf>
    <xf numFmtId="0" fontId="5" fillId="0" borderId="0" xfId="0" applyFont="1"/>
    <xf numFmtId="0" fontId="3" fillId="0" borderId="0" xfId="0" applyFont="1" applyAlignment="1">
      <alignment horizontal="center" vertical="center" textRotation="90"/>
    </xf>
    <xf numFmtId="0" fontId="7" fillId="2" borderId="14" xfId="0" applyFont="1" applyFill="1" applyBorder="1" applyAlignment="1">
      <alignment horizontal="center" vertical="center"/>
    </xf>
    <xf numFmtId="0" fontId="7" fillId="2" borderId="15" xfId="0" applyFont="1" applyFill="1" applyBorder="1" applyAlignment="1">
      <alignment horizontal="center" vertical="center"/>
    </xf>
    <xf numFmtId="0" fontId="7" fillId="2" borderId="10" xfId="0" applyFont="1" applyFill="1" applyBorder="1" applyAlignment="1">
      <alignment horizontal="center" vertical="center"/>
    </xf>
    <xf numFmtId="0" fontId="8" fillId="0" borderId="10" xfId="0" applyFont="1" applyBorder="1" applyAlignment="1">
      <alignment horizontal="center" vertical="center"/>
    </xf>
    <xf numFmtId="164" fontId="6" fillId="0" borderId="10" xfId="0" applyNumberFormat="1" applyFont="1" applyBorder="1"/>
    <xf numFmtId="164" fontId="6" fillId="0" borderId="13" xfId="0" applyNumberFormat="1" applyFont="1" applyBorder="1"/>
    <xf numFmtId="0" fontId="9" fillId="4" borderId="10" xfId="0" applyFont="1" applyFill="1" applyBorder="1" applyAlignment="1">
      <alignment vertical="center"/>
    </xf>
    <xf numFmtId="0" fontId="8" fillId="0" borderId="10" xfId="0" applyFont="1" applyBorder="1" applyAlignment="1">
      <alignment horizontal="center" vertical="center" wrapText="1"/>
    </xf>
    <xf numFmtId="0" fontId="0" fillId="0" borderId="0" xfId="0" applyAlignment="1">
      <alignment horizontal="right"/>
    </xf>
    <xf numFmtId="164" fontId="10" fillId="0" borderId="12" xfId="0" applyNumberFormat="1" applyFont="1" applyBorder="1" applyAlignment="1">
      <alignment horizontal="left" vertical="center"/>
    </xf>
    <xf numFmtId="164" fontId="6" fillId="5" borderId="10" xfId="0" applyNumberFormat="1" applyFont="1" applyFill="1" applyBorder="1"/>
    <xf numFmtId="0" fontId="0" fillId="0" borderId="17" xfId="0" applyBorder="1" applyAlignment="1">
      <alignment horizontal="right"/>
    </xf>
    <xf numFmtId="164" fontId="10" fillId="0" borderId="16" xfId="0" applyNumberFormat="1" applyFont="1" applyBorder="1" applyAlignment="1">
      <alignment horizontal="left" vertical="center"/>
    </xf>
    <xf numFmtId="164" fontId="0" fillId="0" borderId="0" xfId="0" applyNumberFormat="1"/>
    <xf numFmtId="0" fontId="11" fillId="2" borderId="0" xfId="0" applyFont="1" applyFill="1" applyAlignment="1">
      <alignment vertical="center"/>
    </xf>
    <xf numFmtId="0" fontId="0" fillId="0" borderId="0" xfId="0" applyAlignment="1">
      <alignment vertical="center"/>
    </xf>
    <xf numFmtId="164" fontId="0" fillId="0" borderId="0" xfId="0" applyNumberFormat="1" applyAlignment="1">
      <alignment vertical="center"/>
    </xf>
    <xf numFmtId="0" fontId="14" fillId="0" borderId="0" xfId="0" applyFont="1"/>
    <xf numFmtId="0" fontId="7" fillId="0" borderId="0" xfId="0" applyFont="1" applyAlignment="1">
      <alignment horizontal="center" vertical="center"/>
    </xf>
    <xf numFmtId="0" fontId="16" fillId="0" borderId="0" xfId="0" applyFont="1" applyAlignment="1">
      <alignment horizontal="center" vertical="center"/>
    </xf>
    <xf numFmtId="0" fontId="10" fillId="0" borderId="0" xfId="0" applyFont="1"/>
    <xf numFmtId="1" fontId="19" fillId="0" borderId="0" xfId="0" applyNumberFormat="1" applyFont="1" applyAlignment="1">
      <alignment horizontal="center" vertical="center"/>
    </xf>
    <xf numFmtId="164" fontId="19" fillId="0" borderId="0" xfId="0" applyNumberFormat="1" applyFont="1" applyAlignment="1">
      <alignment horizontal="center" vertical="center"/>
    </xf>
    <xf numFmtId="0" fontId="20" fillId="0" borderId="0" xfId="0" applyFont="1" applyAlignment="1">
      <alignment horizontal="center" vertical="center"/>
    </xf>
    <xf numFmtId="0" fontId="10" fillId="0" borderId="0" xfId="0" applyFont="1" applyAlignment="1">
      <alignment horizontal="center" vertical="center"/>
    </xf>
    <xf numFmtId="164" fontId="10" fillId="0" borderId="0" xfId="0" applyNumberFormat="1" applyFont="1" applyAlignment="1">
      <alignment horizontal="center" vertical="center"/>
    </xf>
    <xf numFmtId="164" fontId="0" fillId="0" borderId="0" xfId="0" applyNumberFormat="1" applyAlignment="1">
      <alignment horizontal="center" vertical="center"/>
    </xf>
    <xf numFmtId="0" fontId="10" fillId="0" borderId="0" xfId="0" applyFont="1" applyAlignment="1">
      <alignment horizontal="center"/>
    </xf>
    <xf numFmtId="14" fontId="21" fillId="0" borderId="0" xfId="0" applyNumberFormat="1" applyFont="1" applyAlignment="1">
      <alignment horizontal="left"/>
    </xf>
    <xf numFmtId="165" fontId="22" fillId="0" borderId="0" xfId="0" applyNumberFormat="1" applyFont="1" applyAlignment="1">
      <alignment horizontal="left"/>
    </xf>
    <xf numFmtId="165" fontId="22" fillId="0" borderId="0" xfId="0" applyNumberFormat="1" applyFont="1" applyAlignment="1">
      <alignment horizontal="left" wrapText="1"/>
    </xf>
    <xf numFmtId="0" fontId="4" fillId="2" borderId="18" xfId="0" applyFont="1" applyFill="1" applyBorder="1" applyAlignment="1">
      <alignment horizontal="center" vertical="center"/>
    </xf>
    <xf numFmtId="0" fontId="8" fillId="0" borderId="10" xfId="0" applyFont="1" applyBorder="1" applyAlignment="1">
      <alignment horizontal="center"/>
    </xf>
    <xf numFmtId="0" fontId="18" fillId="0" borderId="13" xfId="0" applyFont="1" applyBorder="1" applyAlignment="1">
      <alignment horizontal="center" vertical="center"/>
    </xf>
    <xf numFmtId="0" fontId="19" fillId="0" borderId="0" xfId="0" applyFont="1" applyAlignment="1">
      <alignment horizontal="center" vertical="center"/>
    </xf>
    <xf numFmtId="0" fontId="24" fillId="0" borderId="0" xfId="0" applyFont="1" applyAlignment="1">
      <alignment horizontal="center" vertical="center" wrapText="1"/>
    </xf>
    <xf numFmtId="0" fontId="4" fillId="2" borderId="9" xfId="0" applyFont="1" applyFill="1" applyBorder="1" applyAlignment="1">
      <alignment horizontal="center" vertical="center"/>
    </xf>
    <xf numFmtId="0" fontId="5" fillId="0" borderId="9" xfId="0" applyFont="1" applyBorder="1"/>
    <xf numFmtId="0" fontId="18" fillId="0" borderId="9" xfId="0" applyFont="1" applyBorder="1" applyAlignment="1">
      <alignment horizontal="center" vertical="center"/>
    </xf>
    <xf numFmtId="0" fontId="18" fillId="0" borderId="9" xfId="0" applyFont="1" applyBorder="1" applyAlignment="1">
      <alignment horizontal="center" vertical="center" wrapText="1"/>
    </xf>
    <xf numFmtId="164" fontId="18" fillId="0" borderId="9" xfId="0" applyNumberFormat="1" applyFont="1" applyBorder="1" applyAlignment="1">
      <alignment horizontal="center" vertical="center"/>
    </xf>
    <xf numFmtId="0" fontId="0" fillId="0" borderId="0" xfId="0" applyAlignment="1">
      <alignment horizontal="left" vertical="center"/>
    </xf>
    <xf numFmtId="2" fontId="0" fillId="0" borderId="0" xfId="0" applyNumberFormat="1" applyAlignment="1">
      <alignment vertical="center"/>
    </xf>
    <xf numFmtId="0" fontId="5" fillId="0" borderId="0" xfId="0" applyFont="1" applyAlignment="1">
      <alignment horizontal="center" vertical="center"/>
    </xf>
    <xf numFmtId="0" fontId="5" fillId="0" borderId="0" xfId="0" applyFont="1" applyAlignment="1">
      <alignment horizontal="left" vertical="center"/>
    </xf>
    <xf numFmtId="0" fontId="8" fillId="0" borderId="0" xfId="0" applyFont="1" applyAlignment="1">
      <alignment horizontal="left" vertical="center"/>
    </xf>
    <xf numFmtId="0" fontId="8" fillId="0" borderId="0" xfId="0" applyFont="1" applyAlignment="1">
      <alignment horizontal="left" vertical="center" wrapText="1"/>
    </xf>
    <xf numFmtId="0" fontId="26" fillId="0" borderId="0" xfId="0" applyFont="1" applyAlignment="1">
      <alignment horizontal="center" vertical="center" wrapText="1"/>
    </xf>
    <xf numFmtId="0" fontId="4" fillId="4" borderId="13" xfId="0" applyFont="1" applyFill="1" applyBorder="1" applyAlignment="1">
      <alignment horizontal="center" vertical="center"/>
    </xf>
    <xf numFmtId="0" fontId="4" fillId="4" borderId="10" xfId="0" applyFont="1" applyFill="1" applyBorder="1" applyAlignment="1">
      <alignment horizontal="center" vertical="center"/>
    </xf>
    <xf numFmtId="0" fontId="27" fillId="0" borderId="15" xfId="0" applyFont="1" applyBorder="1" applyAlignment="1">
      <alignment horizontal="center" vertical="center"/>
    </xf>
    <xf numFmtId="0" fontId="27" fillId="0" borderId="10" xfId="0" applyFont="1" applyBorder="1" applyAlignment="1">
      <alignment horizontal="left" vertical="center"/>
    </xf>
    <xf numFmtId="0" fontId="27" fillId="0" borderId="0" xfId="0" applyFont="1" applyAlignment="1">
      <alignment vertical="center"/>
    </xf>
    <xf numFmtId="0" fontId="28" fillId="0" borderId="15" xfId="0" applyFont="1" applyBorder="1" applyAlignment="1">
      <alignment horizontal="center" vertical="center"/>
    </xf>
    <xf numFmtId="0" fontId="29" fillId="0" borderId="10" xfId="0" applyFont="1" applyBorder="1" applyAlignment="1">
      <alignment vertical="center"/>
    </xf>
    <xf numFmtId="2" fontId="0" fillId="6" borderId="10" xfId="0" applyNumberFormat="1" applyFill="1" applyBorder="1" applyAlignment="1">
      <alignment horizontal="center" vertical="center"/>
    </xf>
    <xf numFmtId="2" fontId="0" fillId="0" borderId="10" xfId="0" applyNumberFormat="1" applyBorder="1" applyAlignment="1">
      <alignment horizontal="center" vertical="center" wrapText="1"/>
    </xf>
    <xf numFmtId="164" fontId="0" fillId="0" borderId="10" xfId="0" applyNumberFormat="1" applyBorder="1" applyAlignment="1">
      <alignment horizontal="center" vertical="center"/>
    </xf>
    <xf numFmtId="0" fontId="0" fillId="0" borderId="10" xfId="0" applyBorder="1" applyAlignment="1">
      <alignment horizontal="center" vertical="center"/>
    </xf>
    <xf numFmtId="164" fontId="0" fillId="6" borderId="10" xfId="0" applyNumberFormat="1" applyFill="1" applyBorder="1" applyAlignment="1">
      <alignment horizontal="center" vertical="center"/>
    </xf>
    <xf numFmtId="0" fontId="30" fillId="8" borderId="26" xfId="0" applyFont="1" applyFill="1" applyBorder="1" applyAlignment="1">
      <alignment horizontal="left" vertical="center"/>
    </xf>
    <xf numFmtId="0" fontId="31" fillId="0" borderId="10" xfId="0" applyFont="1" applyBorder="1" applyAlignment="1">
      <alignment vertical="center"/>
    </xf>
    <xf numFmtId="0" fontId="28" fillId="0" borderId="14" xfId="0" applyFont="1" applyBorder="1" applyAlignment="1">
      <alignment horizontal="center" vertical="center"/>
    </xf>
    <xf numFmtId="0" fontId="29" fillId="0" borderId="14" xfId="0" applyFont="1" applyBorder="1" applyAlignment="1">
      <alignment vertical="center"/>
    </xf>
    <xf numFmtId="0" fontId="30" fillId="9" borderId="27" xfId="0" applyFont="1" applyFill="1" applyBorder="1" applyAlignment="1">
      <alignment horizontal="left" vertical="center"/>
    </xf>
    <xf numFmtId="0" fontId="29" fillId="10" borderId="14" xfId="0" applyFont="1" applyFill="1" applyBorder="1" applyAlignment="1">
      <alignment vertical="center"/>
    </xf>
    <xf numFmtId="0" fontId="31" fillId="0" borderId="14" xfId="0" applyFont="1" applyBorder="1" applyAlignment="1">
      <alignment vertical="center"/>
    </xf>
    <xf numFmtId="0" fontId="29" fillId="0" borderId="15" xfId="0" applyFont="1" applyBorder="1" applyAlignment="1">
      <alignment horizontal="center" vertical="center"/>
    </xf>
    <xf numFmtId="0" fontId="29" fillId="0" borderId="0" xfId="0" applyFont="1" applyAlignment="1">
      <alignment vertical="center"/>
    </xf>
    <xf numFmtId="0" fontId="4" fillId="4" borderId="18" xfId="0" applyFont="1" applyFill="1" applyBorder="1" applyAlignment="1">
      <alignment horizontal="center" vertical="center"/>
    </xf>
    <xf numFmtId="0" fontId="27" fillId="0" borderId="10" xfId="0" applyFont="1" applyBorder="1" applyAlignment="1">
      <alignment vertical="center"/>
    </xf>
    <xf numFmtId="0" fontId="28" fillId="0" borderId="10" xfId="0" applyFont="1" applyBorder="1" applyAlignment="1">
      <alignment horizontal="center" vertical="center"/>
    </xf>
    <xf numFmtId="0" fontId="27" fillId="0" borderId="14" xfId="0" applyFont="1" applyBorder="1" applyAlignment="1">
      <alignment vertical="center"/>
    </xf>
    <xf numFmtId="0" fontId="30" fillId="0" borderId="26" xfId="0" applyFont="1" applyBorder="1" applyAlignment="1">
      <alignment horizontal="left" vertical="center"/>
    </xf>
    <xf numFmtId="0" fontId="27" fillId="0" borderId="0" xfId="0" applyFont="1" applyAlignment="1">
      <alignment horizontal="center" vertical="center"/>
    </xf>
    <xf numFmtId="0" fontId="32" fillId="0" borderId="0" xfId="0" applyFont="1" applyAlignment="1">
      <alignment vertical="center"/>
    </xf>
    <xf numFmtId="0" fontId="33" fillId="0" borderId="0" xfId="0" applyFont="1" applyAlignment="1">
      <alignment vertical="center" wrapText="1"/>
    </xf>
    <xf numFmtId="0" fontId="4" fillId="4" borderId="19" xfId="0" applyFont="1" applyFill="1" applyBorder="1" applyAlignment="1">
      <alignment horizontal="center" vertical="center"/>
    </xf>
    <xf numFmtId="0" fontId="0" fillId="0" borderId="13" xfId="0" applyBorder="1" applyAlignment="1">
      <alignment horizontal="center" vertical="center"/>
    </xf>
    <xf numFmtId="0" fontId="5" fillId="0" borderId="10" xfId="0" applyFont="1" applyBorder="1" applyAlignment="1">
      <alignment vertical="center"/>
    </xf>
    <xf numFmtId="2" fontId="0" fillId="0" borderId="10" xfId="0" applyNumberFormat="1" applyBorder="1" applyAlignment="1">
      <alignment horizontal="center" vertical="center"/>
    </xf>
    <xf numFmtId="0" fontId="30" fillId="0" borderId="27" xfId="0" applyFont="1" applyBorder="1" applyAlignment="1">
      <alignment horizontal="center" vertical="center" wrapText="1"/>
    </xf>
    <xf numFmtId="0" fontId="30" fillId="0" borderId="26" xfId="0" applyFont="1" applyBorder="1" applyAlignment="1">
      <alignment horizontal="center" vertical="center" wrapText="1"/>
    </xf>
    <xf numFmtId="0" fontId="8" fillId="11" borderId="10" xfId="0" applyFont="1" applyFill="1" applyBorder="1" applyAlignment="1">
      <alignment horizontal="center" vertical="center"/>
    </xf>
    <xf numFmtId="0" fontId="5" fillId="12" borderId="10" xfId="0" applyFont="1" applyFill="1" applyBorder="1" applyAlignment="1">
      <alignment vertical="center"/>
    </xf>
    <xf numFmtId="0" fontId="5" fillId="13" borderId="10" xfId="0" applyFont="1" applyFill="1" applyBorder="1" applyAlignment="1">
      <alignment vertical="center"/>
    </xf>
    <xf numFmtId="0" fontId="35" fillId="0" borderId="10" xfId="0" applyFont="1" applyBorder="1" applyAlignment="1">
      <alignment horizontal="center" vertical="center"/>
    </xf>
    <xf numFmtId="0" fontId="36" fillId="0" borderId="10" xfId="0" applyFont="1" applyBorder="1" applyAlignment="1">
      <alignment vertical="center"/>
    </xf>
    <xf numFmtId="0" fontId="5" fillId="11" borderId="10" xfId="0" applyFont="1" applyFill="1" applyBorder="1" applyAlignment="1">
      <alignment vertical="center"/>
    </xf>
    <xf numFmtId="14" fontId="21" fillId="0" borderId="0" xfId="0" applyNumberFormat="1" applyFont="1" applyAlignment="1">
      <alignment horizontal="left" vertical="center"/>
    </xf>
    <xf numFmtId="0" fontId="0" fillId="0" borderId="0" xfId="0" applyAlignment="1" applyProtection="1">
      <alignment vertical="center"/>
      <protection hidden="1"/>
    </xf>
    <xf numFmtId="0" fontId="5" fillId="0" borderId="0" xfId="0" applyFont="1" applyAlignment="1" applyProtection="1">
      <alignment horizontal="center" vertical="center"/>
      <protection hidden="1"/>
    </xf>
    <xf numFmtId="0" fontId="5" fillId="0" borderId="0" xfId="0" applyFont="1" applyAlignment="1" applyProtection="1">
      <alignment horizontal="left" vertical="center"/>
      <protection hidden="1"/>
    </xf>
    <xf numFmtId="0" fontId="8" fillId="0" borderId="0" xfId="0" applyFont="1" applyAlignment="1" applyProtection="1">
      <alignment horizontal="left" vertical="center"/>
      <protection hidden="1"/>
    </xf>
    <xf numFmtId="0" fontId="4" fillId="4" borderId="10" xfId="0" applyFont="1" applyFill="1" applyBorder="1" applyAlignment="1" applyProtection="1">
      <alignment horizontal="center" vertical="center"/>
      <protection hidden="1"/>
    </xf>
    <xf numFmtId="0" fontId="27" fillId="0" borderId="10" xfId="0" applyFont="1" applyBorder="1" applyAlignment="1" applyProtection="1">
      <alignment vertical="center"/>
      <protection hidden="1"/>
    </xf>
    <xf numFmtId="0" fontId="28" fillId="0" borderId="14" xfId="0" applyFont="1" applyBorder="1" applyAlignment="1" applyProtection="1">
      <alignment horizontal="center" vertical="center"/>
      <protection hidden="1"/>
    </xf>
    <xf numFmtId="0" fontId="29" fillId="14" borderId="10" xfId="0" applyFont="1" applyFill="1" applyBorder="1" applyAlignment="1">
      <alignment vertical="center"/>
    </xf>
    <xf numFmtId="2" fontId="0" fillId="14" borderId="10" xfId="0" applyNumberFormat="1" applyFill="1" applyBorder="1" applyAlignment="1">
      <alignment horizontal="center" vertical="center"/>
    </xf>
    <xf numFmtId="0" fontId="0" fillId="14" borderId="10" xfId="0" applyFill="1" applyBorder="1" applyAlignment="1">
      <alignment horizontal="center" vertical="center"/>
    </xf>
    <xf numFmtId="164" fontId="0" fillId="14" borderId="10" xfId="0" applyNumberFormat="1" applyFill="1" applyBorder="1" applyAlignment="1">
      <alignment horizontal="center" vertical="center"/>
    </xf>
    <xf numFmtId="0" fontId="30" fillId="9" borderId="27" xfId="0" applyFont="1" applyFill="1" applyBorder="1" applyAlignment="1" applyProtection="1">
      <alignment horizontal="left" vertical="center"/>
      <protection hidden="1"/>
    </xf>
    <xf numFmtId="0" fontId="30" fillId="0" borderId="26" xfId="0" applyFont="1" applyBorder="1" applyAlignment="1" applyProtection="1">
      <alignment horizontal="left" vertical="center"/>
      <protection hidden="1"/>
    </xf>
    <xf numFmtId="0" fontId="27" fillId="0" borderId="14" xfId="0" applyFont="1" applyBorder="1" applyAlignment="1" applyProtection="1">
      <alignment vertical="center"/>
      <protection hidden="1"/>
    </xf>
    <xf numFmtId="0" fontId="4" fillId="4" borderId="9" xfId="0" applyFont="1" applyFill="1" applyBorder="1" applyAlignment="1">
      <alignment horizontal="center" vertical="center"/>
    </xf>
    <xf numFmtId="0" fontId="5" fillId="0" borderId="10" xfId="0" applyFont="1" applyBorder="1" applyAlignment="1">
      <alignment horizontal="center" vertical="center"/>
    </xf>
    <xf numFmtId="0" fontId="37" fillId="0" borderId="0" xfId="0" applyFont="1" applyAlignment="1">
      <alignment vertical="center"/>
    </xf>
    <xf numFmtId="0" fontId="0" fillId="0" borderId="9" xfId="0" applyBorder="1" applyAlignment="1">
      <alignment horizontal="center" vertical="center"/>
    </xf>
    <xf numFmtId="0" fontId="6" fillId="0" borderId="10" xfId="0" applyFont="1" applyBorder="1" applyAlignment="1">
      <alignment horizontal="center" vertical="center"/>
    </xf>
    <xf numFmtId="0" fontId="0" fillId="0" borderId="10" xfId="0" applyBorder="1" applyAlignment="1">
      <alignment vertical="center"/>
    </xf>
    <xf numFmtId="0" fontId="5" fillId="0" borderId="13" xfId="0" applyFont="1" applyBorder="1" applyAlignment="1">
      <alignment vertical="center"/>
    </xf>
    <xf numFmtId="0" fontId="6" fillId="0" borderId="13" xfId="0" applyFont="1" applyBorder="1" applyAlignment="1">
      <alignment vertical="center"/>
    </xf>
    <xf numFmtId="0" fontId="0" fillId="0" borderId="0" xfId="0" applyAlignment="1">
      <alignment horizontal="right" vertical="center"/>
    </xf>
    <xf numFmtId="0" fontId="0" fillId="3" borderId="10" xfId="0" applyFill="1" applyBorder="1" applyAlignment="1">
      <alignment horizontal="center" vertical="center"/>
    </xf>
    <xf numFmtId="0" fontId="31" fillId="0" borderId="29" xfId="0" applyFont="1" applyBorder="1" applyAlignment="1">
      <alignment vertical="center"/>
    </xf>
    <xf numFmtId="0" fontId="39" fillId="7" borderId="0" xfId="0" applyFont="1" applyFill="1" applyAlignment="1">
      <alignment vertical="center"/>
    </xf>
    <xf numFmtId="0" fontId="40" fillId="0" borderId="9" xfId="0" applyFont="1" applyBorder="1" applyAlignment="1">
      <alignment horizontal="left" vertical="center"/>
    </xf>
    <xf numFmtId="0" fontId="31" fillId="0" borderId="9" xfId="0" applyFont="1" applyBorder="1" applyAlignment="1">
      <alignment horizontal="left" vertical="center"/>
    </xf>
    <xf numFmtId="0" fontId="28" fillId="0" borderId="9" xfId="0" applyFont="1" applyBorder="1" applyAlignment="1">
      <alignment horizontal="left" vertical="center"/>
    </xf>
    <xf numFmtId="0" fontId="0" fillId="0" borderId="0" xfId="0" applyAlignment="1">
      <alignment vertical="top"/>
    </xf>
    <xf numFmtId="0" fontId="44" fillId="0" borderId="0" xfId="0" applyFont="1" applyAlignment="1">
      <alignment vertical="top"/>
    </xf>
    <xf numFmtId="4" fontId="44" fillId="0" borderId="0" xfId="0" applyNumberFormat="1" applyFont="1" applyAlignment="1">
      <alignment vertical="top"/>
    </xf>
    <xf numFmtId="166" fontId="44" fillId="0" borderId="0" xfId="0" applyNumberFormat="1" applyFont="1" applyAlignment="1">
      <alignment vertical="top"/>
    </xf>
    <xf numFmtId="2" fontId="0" fillId="0" borderId="0" xfId="0" applyNumberFormat="1" applyAlignment="1">
      <alignment vertical="top"/>
    </xf>
    <xf numFmtId="3" fontId="44" fillId="0" borderId="0" xfId="0" applyNumberFormat="1" applyFont="1" applyAlignment="1">
      <alignment vertical="top"/>
    </xf>
    <xf numFmtId="14" fontId="44" fillId="0" borderId="0" xfId="0" applyNumberFormat="1" applyFont="1" applyAlignment="1">
      <alignment vertical="top"/>
    </xf>
    <xf numFmtId="0" fontId="45" fillId="0" borderId="0" xfId="0" applyFont="1"/>
    <xf numFmtId="0" fontId="46" fillId="0" borderId="0" xfId="0" applyFont="1" applyAlignment="1">
      <alignment vertical="top"/>
    </xf>
    <xf numFmtId="3" fontId="46" fillId="0" borderId="0" xfId="0" applyNumberFormat="1" applyFont="1" applyAlignment="1">
      <alignment vertical="top"/>
    </xf>
    <xf numFmtId="14" fontId="46" fillId="0" borderId="0" xfId="0" applyNumberFormat="1" applyFont="1" applyAlignment="1">
      <alignment vertical="top"/>
    </xf>
    <xf numFmtId="166" fontId="46" fillId="0" borderId="0" xfId="0" applyNumberFormat="1" applyFont="1" applyAlignment="1">
      <alignment vertical="top"/>
    </xf>
    <xf numFmtId="4" fontId="46" fillId="0" borderId="0" xfId="0" applyNumberFormat="1" applyFont="1" applyAlignment="1">
      <alignment vertical="top"/>
    </xf>
    <xf numFmtId="0" fontId="47" fillId="0" borderId="0" xfId="0" applyFont="1"/>
    <xf numFmtId="0" fontId="47" fillId="0" borderId="0" xfId="0" applyFont="1" applyAlignment="1">
      <alignment wrapText="1"/>
    </xf>
    <xf numFmtId="4" fontId="47" fillId="0" borderId="0" xfId="0" applyNumberFormat="1" applyFont="1"/>
    <xf numFmtId="0" fontId="25" fillId="7" borderId="11" xfId="0" applyFont="1" applyFill="1" applyBorder="1" applyAlignment="1">
      <alignment horizontal="center" vertical="center" wrapText="1"/>
    </xf>
    <xf numFmtId="0" fontId="25" fillId="7" borderId="0" xfId="0" applyFont="1" applyFill="1" applyAlignment="1">
      <alignment horizontal="center" vertical="center" wrapText="1"/>
    </xf>
    <xf numFmtId="0" fontId="4" fillId="4" borderId="0" xfId="0" applyFont="1" applyFill="1" applyAlignment="1">
      <alignment horizontal="center" vertical="center"/>
    </xf>
    <xf numFmtId="0" fontId="8" fillId="0" borderId="0" xfId="0" applyFont="1" applyAlignment="1">
      <alignment horizontal="center" vertical="center" wrapText="1"/>
    </xf>
    <xf numFmtId="0" fontId="8" fillId="0" borderId="25" xfId="0" applyFont="1" applyBorder="1" applyAlignment="1">
      <alignment horizontal="center" vertical="center" wrapText="1"/>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0" xfId="0" applyFont="1" applyFill="1" applyAlignment="1">
      <alignment horizontal="center" vertical="center"/>
    </xf>
    <xf numFmtId="0" fontId="1" fillId="2" borderId="5" xfId="0" applyFont="1" applyFill="1" applyBorder="1" applyAlignment="1">
      <alignment horizontal="center" vertical="center"/>
    </xf>
    <xf numFmtId="0" fontId="2" fillId="0" borderId="1" xfId="0" applyFont="1" applyBorder="1" applyAlignment="1">
      <alignment horizontal="left" vertical="top" wrapText="1"/>
    </xf>
    <xf numFmtId="0" fontId="2" fillId="0" borderId="2" xfId="0" applyFont="1" applyBorder="1" applyAlignment="1">
      <alignment horizontal="left" vertical="top" wrapText="1"/>
    </xf>
    <xf numFmtId="0" fontId="2" fillId="0" borderId="3" xfId="0" applyFont="1" applyBorder="1" applyAlignment="1">
      <alignment horizontal="left" vertical="top" wrapText="1"/>
    </xf>
    <xf numFmtId="0" fontId="2" fillId="0" borderId="4" xfId="0" applyFont="1" applyBorder="1" applyAlignment="1">
      <alignment horizontal="left" vertical="top" wrapText="1"/>
    </xf>
    <xf numFmtId="0" fontId="2" fillId="0" borderId="0" xfId="0" applyFont="1" applyAlignment="1">
      <alignment horizontal="left" vertical="top" wrapText="1"/>
    </xf>
    <xf numFmtId="0" fontId="2" fillId="0" borderId="5" xfId="0" applyFont="1" applyBorder="1" applyAlignment="1">
      <alignment horizontal="left" vertical="top" wrapText="1"/>
    </xf>
    <xf numFmtId="0" fontId="2" fillId="0" borderId="6" xfId="0" applyFont="1" applyBorder="1" applyAlignment="1">
      <alignment horizontal="left" vertical="top" wrapTex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0" fillId="0" borderId="2" xfId="0" applyBorder="1" applyAlignment="1">
      <alignment horizontal="center" vertical="top" wrapText="1"/>
    </xf>
    <xf numFmtId="0" fontId="0" fillId="0" borderId="0" xfId="0" applyAlignment="1">
      <alignment horizontal="center" vertical="top" wrapText="1"/>
    </xf>
    <xf numFmtId="0" fontId="2" fillId="3" borderId="9" xfId="0" applyFont="1" applyFill="1" applyBorder="1" applyAlignment="1">
      <alignment horizontal="center" wrapText="1"/>
    </xf>
    <xf numFmtId="0" fontId="5" fillId="0" borderId="9" xfId="0" applyFont="1" applyBorder="1" applyAlignment="1">
      <alignment horizontal="center" vertical="center"/>
    </xf>
    <xf numFmtId="164" fontId="18" fillId="0" borderId="10" xfId="0" applyNumberFormat="1" applyFont="1" applyBorder="1" applyAlignment="1">
      <alignment horizontal="center" vertical="center"/>
    </xf>
    <xf numFmtId="0" fontId="5" fillId="0" borderId="22" xfId="0" applyFont="1" applyBorder="1" applyAlignment="1">
      <alignment horizontal="center" vertical="center"/>
    </xf>
    <xf numFmtId="0" fontId="5" fillId="0" borderId="21" xfId="0" applyFont="1" applyBorder="1" applyAlignment="1">
      <alignment horizontal="center" vertical="center"/>
    </xf>
    <xf numFmtId="0" fontId="5" fillId="6" borderId="22" xfId="0" applyFont="1" applyFill="1" applyBorder="1" applyAlignment="1">
      <alignment horizontal="center" vertical="center"/>
    </xf>
    <xf numFmtId="0" fontId="5" fillId="6" borderId="21" xfId="0" applyFont="1" applyFill="1" applyBorder="1" applyAlignment="1">
      <alignment horizontal="center" vertical="center"/>
    </xf>
    <xf numFmtId="164" fontId="18" fillId="0" borderId="18" xfId="0" applyNumberFormat="1" applyFont="1" applyBorder="1" applyAlignment="1">
      <alignment horizontal="center" vertical="center"/>
    </xf>
    <xf numFmtId="0" fontId="4" fillId="2" borderId="0" xfId="0" applyFont="1" applyFill="1" applyAlignment="1">
      <alignment horizontal="center" vertical="center"/>
    </xf>
    <xf numFmtId="0" fontId="4" fillId="2" borderId="12" xfId="0" applyFont="1" applyFill="1" applyBorder="1" applyAlignment="1">
      <alignment horizontal="center" vertical="center"/>
    </xf>
    <xf numFmtId="0" fontId="15" fillId="4" borderId="9" xfId="0" applyFont="1" applyFill="1" applyBorder="1" applyAlignment="1">
      <alignment horizontal="center" vertical="center"/>
    </xf>
    <xf numFmtId="0" fontId="15" fillId="4" borderId="10" xfId="0" applyFont="1" applyFill="1" applyBorder="1" applyAlignment="1">
      <alignment horizontal="center" vertical="center"/>
    </xf>
    <xf numFmtId="0" fontId="18" fillId="0" borderId="13" xfId="0" applyFont="1" applyBorder="1" applyAlignment="1">
      <alignment horizontal="center" vertical="center"/>
    </xf>
    <xf numFmtId="0" fontId="18" fillId="0" borderId="16" xfId="0" applyFont="1" applyBorder="1" applyAlignment="1">
      <alignment horizontal="center" vertical="center"/>
    </xf>
    <xf numFmtId="0" fontId="18" fillId="0" borderId="9" xfId="0" applyFont="1" applyBorder="1" applyAlignment="1">
      <alignment horizontal="center" vertical="center"/>
    </xf>
    <xf numFmtId="0" fontId="18" fillId="0" borderId="23" xfId="0" applyFont="1" applyBorder="1" applyAlignment="1">
      <alignment horizontal="center" vertical="center"/>
    </xf>
    <xf numFmtId="0" fontId="18" fillId="0" borderId="19" xfId="0" applyFont="1" applyBorder="1" applyAlignment="1">
      <alignment horizontal="center" vertical="center"/>
    </xf>
    <xf numFmtId="0" fontId="4" fillId="2" borderId="9" xfId="0" applyFont="1" applyFill="1" applyBorder="1" applyAlignment="1">
      <alignment horizontal="center" vertical="center"/>
    </xf>
    <xf numFmtId="0" fontId="3" fillId="0" borderId="0" xfId="0" applyFont="1" applyAlignment="1">
      <alignment horizontal="center" vertical="center" textRotation="90"/>
    </xf>
    <xf numFmtId="0" fontId="18" fillId="0" borderId="13" xfId="0" applyFont="1" applyBorder="1" applyAlignment="1">
      <alignment horizontal="center" vertical="center" wrapText="1"/>
    </xf>
    <xf numFmtId="0" fontId="18" fillId="0" borderId="19" xfId="0" applyFont="1" applyBorder="1" applyAlignment="1">
      <alignment horizontal="center" vertical="center" wrapText="1"/>
    </xf>
    <xf numFmtId="0" fontId="18" fillId="0" borderId="24" xfId="0" applyFont="1" applyBorder="1" applyAlignment="1">
      <alignment horizontal="center" vertical="center"/>
    </xf>
    <xf numFmtId="0" fontId="6" fillId="0" borderId="9" xfId="0" applyFont="1" applyBorder="1" applyAlignment="1">
      <alignment horizontal="center"/>
    </xf>
    <xf numFmtId="0" fontId="11" fillId="2" borderId="0" xfId="0" applyFont="1" applyFill="1" applyAlignment="1">
      <alignment horizontal="center" vertical="center"/>
    </xf>
    <xf numFmtId="0" fontId="12" fillId="2" borderId="0" xfId="0" applyFont="1" applyFill="1" applyAlignment="1">
      <alignment horizontal="center" vertical="center"/>
    </xf>
    <xf numFmtId="0" fontId="13" fillId="2" borderId="0" xfId="0" applyFont="1" applyFill="1" applyAlignment="1">
      <alignment horizontal="center" vertical="center"/>
    </xf>
    <xf numFmtId="0" fontId="17" fillId="0" borderId="10" xfId="0" applyFont="1" applyBorder="1" applyAlignment="1">
      <alignment horizontal="center" vertical="center"/>
    </xf>
    <xf numFmtId="164" fontId="18" fillId="0" borderId="13" xfId="0" applyNumberFormat="1" applyFont="1" applyBorder="1" applyAlignment="1">
      <alignment horizontal="center" vertical="center"/>
    </xf>
    <xf numFmtId="164" fontId="18" fillId="0" borderId="16" xfId="0" applyNumberFormat="1" applyFont="1" applyBorder="1" applyAlignment="1">
      <alignment horizontal="center" vertical="center"/>
    </xf>
    <xf numFmtId="0" fontId="4" fillId="2" borderId="20" xfId="0" applyFont="1" applyFill="1" applyBorder="1" applyAlignment="1">
      <alignment horizontal="center" vertical="center"/>
    </xf>
    <xf numFmtId="0" fontId="4" fillId="2" borderId="21" xfId="0" applyFont="1" applyFill="1" applyBorder="1" applyAlignment="1">
      <alignment horizontal="center" vertical="center"/>
    </xf>
    <xf numFmtId="0" fontId="17" fillId="6" borderId="10" xfId="0" applyFont="1" applyFill="1" applyBorder="1" applyAlignment="1">
      <alignment horizontal="center" vertical="center"/>
    </xf>
    <xf numFmtId="164" fontId="18" fillId="6" borderId="13" xfId="0" applyNumberFormat="1" applyFont="1" applyFill="1" applyBorder="1" applyAlignment="1">
      <alignment horizontal="center" vertical="center"/>
    </xf>
    <xf numFmtId="164" fontId="18" fillId="6" borderId="16" xfId="0" applyNumberFormat="1" applyFont="1" applyFill="1" applyBorder="1" applyAlignment="1">
      <alignment horizontal="center" vertical="center"/>
    </xf>
    <xf numFmtId="0" fontId="4" fillId="2" borderId="10" xfId="0" applyFont="1" applyFill="1" applyBorder="1" applyAlignment="1">
      <alignment horizontal="center" vertical="center"/>
    </xf>
    <xf numFmtId="0" fontId="18" fillId="0" borderId="10" xfId="0" applyFont="1" applyBorder="1" applyAlignment="1">
      <alignment horizontal="center" vertical="center"/>
    </xf>
    <xf numFmtId="0" fontId="18" fillId="6" borderId="13" xfId="0" applyFont="1" applyFill="1" applyBorder="1" applyAlignment="1">
      <alignment horizontal="center" vertical="center" wrapText="1"/>
    </xf>
    <xf numFmtId="0" fontId="18" fillId="6" borderId="16" xfId="0" applyFont="1" applyFill="1" applyBorder="1" applyAlignment="1">
      <alignment horizontal="center" vertical="center"/>
    </xf>
    <xf numFmtId="0" fontId="18" fillId="6" borderId="10" xfId="0" applyFont="1" applyFill="1" applyBorder="1" applyAlignment="1">
      <alignment horizontal="center" vertical="center"/>
    </xf>
    <xf numFmtId="0" fontId="18" fillId="6" borderId="13" xfId="0" applyFont="1" applyFill="1" applyBorder="1" applyAlignment="1">
      <alignment horizontal="center" vertical="center"/>
    </xf>
    <xf numFmtId="0" fontId="6" fillId="0" borderId="10" xfId="0" applyFont="1" applyBorder="1" applyAlignment="1">
      <alignment horizontal="center"/>
    </xf>
    <xf numFmtId="14" fontId="21" fillId="0" borderId="0" xfId="0" applyNumberFormat="1" applyFont="1" applyAlignment="1">
      <alignment horizontal="left"/>
    </xf>
    <xf numFmtId="165" fontId="22" fillId="0" borderId="0" xfId="0" applyNumberFormat="1" applyFont="1" applyAlignment="1">
      <alignment horizontal="left"/>
    </xf>
    <xf numFmtId="0" fontId="17" fillId="0" borderId="13" xfId="0" applyFont="1" applyBorder="1" applyAlignment="1">
      <alignment horizontal="center" vertical="center"/>
    </xf>
    <xf numFmtId="164" fontId="18" fillId="0" borderId="14" xfId="0" applyNumberFormat="1" applyFont="1" applyBorder="1" applyAlignment="1">
      <alignment horizontal="center" vertical="center"/>
    </xf>
    <xf numFmtId="0" fontId="23" fillId="0" borderId="0" xfId="0" applyFont="1" applyAlignment="1">
      <alignment horizontal="center" vertical="center" wrapText="1"/>
    </xf>
    <xf numFmtId="0" fontId="4" fillId="2" borderId="11" xfId="0" applyFont="1" applyFill="1" applyBorder="1" applyAlignment="1">
      <alignment horizontal="center" vertical="center"/>
    </xf>
    <xf numFmtId="1" fontId="18" fillId="0" borderId="10" xfId="0" applyNumberFormat="1" applyFont="1" applyBorder="1" applyAlignment="1">
      <alignment horizontal="center" vertical="center"/>
    </xf>
    <xf numFmtId="0" fontId="17" fillId="0" borderId="18" xfId="0" applyFont="1" applyBorder="1" applyAlignment="1">
      <alignment horizontal="center" vertical="center"/>
    </xf>
    <xf numFmtId="1" fontId="18" fillId="0" borderId="18" xfId="0" applyNumberFormat="1" applyFont="1" applyBorder="1" applyAlignment="1">
      <alignment horizontal="center" vertical="center"/>
    </xf>
    <xf numFmtId="0" fontId="17" fillId="0" borderId="18" xfId="0" applyFont="1" applyBorder="1" applyAlignment="1">
      <alignment horizontal="center" vertical="center" wrapText="1"/>
    </xf>
    <xf numFmtId="0" fontId="17" fillId="0" borderId="19" xfId="0" applyFont="1" applyBorder="1" applyAlignment="1">
      <alignment horizontal="center" vertical="center" wrapText="1"/>
    </xf>
    <xf numFmtId="0" fontId="17" fillId="0" borderId="10" xfId="0" applyFont="1" applyBorder="1" applyAlignment="1">
      <alignment horizontal="center" vertical="center" wrapText="1"/>
    </xf>
    <xf numFmtId="164" fontId="10" fillId="0" borderId="16" xfId="0" applyNumberFormat="1" applyFont="1" applyBorder="1" applyAlignment="1">
      <alignment horizontal="center" vertical="center"/>
    </xf>
    <xf numFmtId="164" fontId="10" fillId="0" borderId="10" xfId="0" applyNumberFormat="1" applyFont="1" applyBorder="1" applyAlignment="1">
      <alignment horizontal="center" vertical="center"/>
    </xf>
    <xf numFmtId="0" fontId="7" fillId="2" borderId="12" xfId="0" applyFont="1" applyFill="1" applyBorder="1" applyAlignment="1">
      <alignment horizontal="center" vertical="center"/>
    </xf>
    <xf numFmtId="0" fontId="7" fillId="2" borderId="14" xfId="0" applyFont="1" applyFill="1" applyBorder="1" applyAlignment="1">
      <alignment horizontal="center" vertical="center"/>
    </xf>
    <xf numFmtId="0" fontId="10" fillId="0" borderId="16" xfId="0" applyFont="1" applyBorder="1" applyAlignment="1">
      <alignment horizontal="center" vertical="center"/>
    </xf>
    <xf numFmtId="0" fontId="10" fillId="0" borderId="10" xfId="0" applyFont="1" applyBorder="1" applyAlignment="1">
      <alignment horizontal="center" vertical="center"/>
    </xf>
    <xf numFmtId="0" fontId="25" fillId="7" borderId="19" xfId="0" applyFont="1" applyFill="1" applyBorder="1" applyAlignment="1">
      <alignment horizontal="center" vertical="center" wrapText="1"/>
    </xf>
    <xf numFmtId="0" fontId="25" fillId="7" borderId="28" xfId="0" applyFont="1" applyFill="1" applyBorder="1" applyAlignment="1">
      <alignment horizontal="center" vertical="center" wrapText="1"/>
    </xf>
    <xf numFmtId="0" fontId="34" fillId="2" borderId="11" xfId="0" applyFont="1" applyFill="1" applyBorder="1" applyAlignment="1">
      <alignment horizontal="center" vertical="center" wrapText="1"/>
    </xf>
    <xf numFmtId="0" fontId="34" fillId="2" borderId="0" xfId="0" applyFont="1" applyFill="1" applyAlignment="1">
      <alignment horizontal="center" vertical="center" wrapText="1"/>
    </xf>
    <xf numFmtId="0" fontId="4" fillId="4" borderId="0" xfId="0" applyFont="1" applyFill="1" applyAlignment="1" applyProtection="1">
      <alignment horizontal="center" vertical="center"/>
      <protection hidden="1"/>
    </xf>
    <xf numFmtId="0" fontId="8" fillId="0" borderId="0" xfId="0" applyFont="1" applyAlignment="1" applyProtection="1">
      <alignment horizontal="center" vertical="center" wrapText="1"/>
      <protection hidden="1"/>
    </xf>
    <xf numFmtId="0" fontId="8" fillId="0" borderId="25" xfId="0" applyFont="1" applyBorder="1" applyAlignment="1" applyProtection="1">
      <alignment horizontal="center" vertical="center" wrapText="1"/>
      <protection hidden="1"/>
    </xf>
    <xf numFmtId="0" fontId="42" fillId="0" borderId="2" xfId="0" applyFont="1" applyBorder="1" applyAlignment="1">
      <alignment horizontal="center" vertical="center"/>
    </xf>
    <xf numFmtId="0" fontId="43" fillId="0" borderId="0" xfId="0" applyFont="1" applyAlignment="1" applyProtection="1">
      <alignment horizontal="center" vertical="center"/>
      <protection locked="0"/>
    </xf>
    <xf numFmtId="0" fontId="39" fillId="7" borderId="9" xfId="0" applyFont="1" applyFill="1" applyBorder="1" applyAlignment="1">
      <alignment horizontal="center" vertical="center"/>
    </xf>
    <xf numFmtId="0" fontId="2" fillId="0" borderId="7" xfId="0" applyFont="1" applyBorder="1" applyAlignment="1">
      <alignment horizontal="center" vertical="center"/>
    </xf>
    <xf numFmtId="0" fontId="41" fillId="4" borderId="30" xfId="0" applyFont="1" applyFill="1" applyBorder="1" applyAlignment="1" applyProtection="1">
      <alignment horizontal="center" vertical="center"/>
      <protection locked="0"/>
    </xf>
    <xf numFmtId="0" fontId="41" fillId="4" borderId="31" xfId="0" applyFont="1" applyFill="1" applyBorder="1" applyAlignment="1" applyProtection="1">
      <alignment horizontal="center" vertical="center"/>
      <protection locked="0"/>
    </xf>
    <xf numFmtId="0" fontId="41" fillId="4" borderId="32" xfId="0" applyFont="1" applyFill="1" applyBorder="1" applyAlignment="1" applyProtection="1">
      <alignment horizontal="center" vertical="center"/>
      <protection locked="0"/>
    </xf>
    <xf numFmtId="0" fontId="38" fillId="7" borderId="19" xfId="0" applyFont="1" applyFill="1" applyBorder="1" applyAlignment="1">
      <alignment horizontal="center" vertical="center"/>
    </xf>
    <xf numFmtId="0" fontId="38" fillId="7" borderId="16" xfId="0" applyFont="1" applyFill="1" applyBorder="1" applyAlignment="1">
      <alignment horizontal="center" vertical="center"/>
    </xf>
    <xf numFmtId="0" fontId="38" fillId="7" borderId="13" xfId="0" applyFont="1" applyFill="1" applyBorder="1" applyAlignment="1">
      <alignment horizontal="center" vertical="center"/>
    </xf>
  </cellXfs>
  <cellStyles count="1">
    <cellStyle name="Normal" xfId="0" builtinId="0"/>
  </cellStyles>
  <dxfs count="52">
    <dxf>
      <font>
        <color rgb="FFD9D9D9"/>
      </font>
      <fill>
        <patternFill patternType="solid">
          <fgColor indexed="64"/>
          <bgColor rgb="FFD9D9D9"/>
        </patternFill>
      </fill>
    </dxf>
    <dxf>
      <fill>
        <patternFill patternType="solid">
          <fgColor indexed="64"/>
          <bgColor rgb="FFC6E0B4"/>
        </patternFill>
      </fill>
    </dxf>
    <dxf>
      <font>
        <color theme="1"/>
      </font>
      <fill>
        <patternFill patternType="solid">
          <bgColor rgb="FFFF7C80"/>
        </patternFill>
      </fill>
    </dxf>
    <dxf>
      <fill>
        <patternFill patternType="solid">
          <fgColor indexed="64"/>
          <bgColor rgb="FFFF7C80"/>
        </patternFill>
      </fill>
    </dxf>
    <dxf>
      <font>
        <color theme="1"/>
      </font>
      <fill>
        <patternFill patternType="solid">
          <bgColor rgb="FFFF7C80"/>
        </patternFill>
      </fill>
    </dxf>
    <dxf>
      <font>
        <color rgb="FFFF0000"/>
      </font>
      <fill>
        <patternFill patternType="solid">
          <bgColor rgb="FFFF0000"/>
        </patternFill>
      </fill>
    </dxf>
    <dxf>
      <font>
        <color theme="9" tint="0.39997558519241921"/>
      </font>
      <fill>
        <patternFill patternType="solid">
          <bgColor theme="9" tint="0.39997558519241921"/>
        </patternFill>
      </fill>
    </dxf>
    <dxf>
      <font>
        <color rgb="FFFF0000"/>
      </font>
      <fill>
        <patternFill patternType="solid">
          <bgColor rgb="FFFF0000"/>
        </patternFill>
      </fill>
    </dxf>
    <dxf>
      <font>
        <color theme="9" tint="0.39997558519241921"/>
      </font>
      <fill>
        <patternFill patternType="solid">
          <bgColor theme="9" tint="0.39997558519241921"/>
        </patternFill>
      </fill>
    </dxf>
    <dxf>
      <font>
        <color rgb="FFD9D9D9"/>
      </font>
      <fill>
        <patternFill patternType="solid">
          <fgColor indexed="64"/>
          <bgColor rgb="FFD9D9D9"/>
        </patternFill>
      </fill>
    </dxf>
    <dxf>
      <font>
        <color theme="1"/>
      </font>
      <fill>
        <patternFill patternType="solid">
          <bgColor rgb="FFFF7C80"/>
        </patternFill>
      </fill>
    </dxf>
    <dxf>
      <fill>
        <patternFill patternType="solid">
          <fgColor indexed="64"/>
          <bgColor rgb="FFC6E0B4"/>
        </patternFill>
      </fill>
    </dxf>
    <dxf>
      <fill>
        <patternFill patternType="solid">
          <fgColor indexed="64"/>
          <bgColor rgb="FFFF7C80"/>
        </patternFill>
      </fill>
    </dxf>
    <dxf>
      <font>
        <color theme="1"/>
      </font>
      <fill>
        <patternFill patternType="solid">
          <bgColor rgb="FFFF7C80"/>
        </patternFill>
      </fill>
    </dxf>
    <dxf>
      <font>
        <color rgb="FFFF0000"/>
      </font>
      <fill>
        <patternFill patternType="solid">
          <bgColor rgb="FFFF0000"/>
        </patternFill>
      </fill>
    </dxf>
    <dxf>
      <font>
        <color theme="9" tint="0.39997558519241921"/>
      </font>
      <fill>
        <patternFill patternType="solid">
          <bgColor theme="9" tint="0.39997558519241921"/>
        </patternFill>
      </fill>
    </dxf>
    <dxf>
      <font>
        <color rgb="FFD9D9D9"/>
      </font>
      <fill>
        <patternFill patternType="solid">
          <fgColor indexed="64"/>
          <bgColor rgb="FFD9D9D9"/>
        </patternFill>
      </fill>
    </dxf>
    <dxf>
      <fill>
        <patternFill patternType="solid">
          <fgColor indexed="64"/>
          <bgColor rgb="FFC6E0B4"/>
        </patternFill>
      </fill>
    </dxf>
    <dxf>
      <font>
        <color theme="1"/>
      </font>
      <fill>
        <patternFill patternType="solid">
          <bgColor rgb="FFFF7C80"/>
        </patternFill>
      </fill>
    </dxf>
    <dxf>
      <font>
        <color theme="1"/>
      </font>
      <fill>
        <patternFill patternType="solid">
          <bgColor rgb="FFFF7C80"/>
        </patternFill>
      </fill>
    </dxf>
    <dxf>
      <font>
        <color theme="1"/>
      </font>
      <fill>
        <patternFill patternType="solid">
          <bgColor rgb="FFFF7C80"/>
        </patternFill>
      </fill>
    </dxf>
    <dxf>
      <font>
        <color theme="1"/>
      </font>
      <fill>
        <patternFill patternType="solid">
          <bgColor rgb="FFFF7C80"/>
        </patternFill>
      </fill>
    </dxf>
    <dxf>
      <font>
        <color theme="1"/>
      </font>
      <fill>
        <patternFill patternType="solid">
          <bgColor rgb="FFFF7C80"/>
        </patternFill>
      </fill>
    </dxf>
    <dxf>
      <font>
        <color theme="1"/>
      </font>
      <fill>
        <patternFill patternType="solid">
          <bgColor rgb="FFFF7C80"/>
        </patternFill>
      </fill>
    </dxf>
    <dxf>
      <font>
        <color theme="1"/>
      </font>
      <fill>
        <patternFill patternType="solid">
          <bgColor rgb="FFFF7C80"/>
        </patternFill>
      </fill>
    </dxf>
    <dxf>
      <fill>
        <patternFill patternType="solid">
          <fgColor indexed="64"/>
          <bgColor rgb="FFFF7C80"/>
        </patternFill>
      </fill>
    </dxf>
    <dxf>
      <font>
        <color theme="1"/>
      </font>
      <fill>
        <patternFill patternType="solid">
          <bgColor rgb="FFFF7C80"/>
        </patternFill>
      </fill>
    </dxf>
    <dxf>
      <font>
        <color rgb="FFFF0000"/>
      </font>
      <fill>
        <patternFill patternType="solid">
          <bgColor rgb="FFFF0000"/>
        </patternFill>
      </fill>
    </dxf>
    <dxf>
      <font>
        <color theme="9" tint="0.39997558519241921"/>
      </font>
      <fill>
        <patternFill patternType="solid">
          <bgColor theme="9" tint="0.39997558519241921"/>
        </patternFill>
      </fill>
    </dxf>
    <dxf>
      <font>
        <color rgb="FFD9D9D9"/>
      </font>
      <fill>
        <patternFill patternType="solid">
          <fgColor indexed="64"/>
          <bgColor rgb="FFD9D9D9"/>
        </patternFill>
      </fill>
    </dxf>
    <dxf>
      <fill>
        <patternFill patternType="solid">
          <fgColor indexed="64"/>
          <bgColor rgb="FFC6E0B4"/>
        </patternFill>
      </fill>
    </dxf>
    <dxf>
      <font>
        <color rgb="FFD9D9D9"/>
      </font>
      <fill>
        <patternFill patternType="solid">
          <fgColor indexed="64"/>
          <bgColor rgb="FFD9D9D9"/>
        </patternFill>
      </fill>
    </dxf>
    <dxf>
      <fill>
        <patternFill patternType="solid">
          <fgColor indexed="64"/>
          <bgColor rgb="FFC6E0B4"/>
        </patternFill>
      </fill>
    </dxf>
    <dxf>
      <font>
        <color theme="1"/>
      </font>
      <fill>
        <patternFill patternType="solid">
          <bgColor rgb="FFFF7C80"/>
        </patternFill>
      </fill>
    </dxf>
    <dxf>
      <font>
        <color theme="1"/>
      </font>
      <fill>
        <patternFill patternType="solid">
          <bgColor rgb="FFFF7C80"/>
        </patternFill>
      </fill>
    </dxf>
    <dxf>
      <font>
        <color theme="1"/>
      </font>
      <fill>
        <patternFill patternType="solid">
          <bgColor rgb="FFFF7C80"/>
        </patternFill>
      </fill>
    </dxf>
    <dxf>
      <font>
        <color theme="1"/>
      </font>
      <fill>
        <patternFill patternType="solid">
          <bgColor rgb="FFFF7C80"/>
        </patternFill>
      </fill>
    </dxf>
    <dxf>
      <fill>
        <patternFill patternType="solid">
          <fgColor indexed="64"/>
          <bgColor rgb="FFFF7C80"/>
        </patternFill>
      </fill>
    </dxf>
    <dxf>
      <fill>
        <patternFill patternType="solid">
          <fgColor indexed="64"/>
          <bgColor rgb="FFFF7C80"/>
        </patternFill>
      </fill>
    </dxf>
    <dxf>
      <font>
        <color theme="1"/>
      </font>
      <fill>
        <patternFill patternType="solid">
          <bgColor rgb="FFFF7C80"/>
        </patternFill>
      </fill>
    </dxf>
    <dxf>
      <font>
        <color theme="1"/>
      </font>
      <fill>
        <patternFill patternType="solid">
          <bgColor rgb="FFFF7C80"/>
        </patternFill>
      </fill>
    </dxf>
    <dxf>
      <font>
        <color rgb="FFFF0000"/>
      </font>
      <fill>
        <patternFill patternType="solid">
          <bgColor rgb="FFFF0000"/>
        </patternFill>
      </fill>
    </dxf>
    <dxf>
      <font>
        <color theme="9" tint="0.39997558519241921"/>
      </font>
      <fill>
        <patternFill patternType="solid">
          <bgColor theme="9" tint="0.39997558519241921"/>
        </patternFill>
      </fill>
    </dxf>
    <dxf>
      <font>
        <color theme="1"/>
      </font>
      <fill>
        <patternFill patternType="solid">
          <bgColor rgb="FFFF7C80"/>
        </patternFill>
      </fill>
    </dxf>
    <dxf>
      <font>
        <color rgb="FFD9D9D9"/>
      </font>
      <fill>
        <patternFill patternType="solid">
          <fgColor indexed="64"/>
          <bgColor rgb="FFD9D9D9"/>
        </patternFill>
      </fill>
    </dxf>
    <dxf>
      <fill>
        <patternFill patternType="solid">
          <fgColor indexed="64"/>
          <bgColor rgb="FFC6E0B4"/>
        </patternFill>
      </fill>
    </dxf>
    <dxf>
      <font>
        <color theme="1"/>
      </font>
      <fill>
        <patternFill patternType="solid">
          <bgColor rgb="FFFF7C80"/>
        </patternFill>
      </fill>
    </dxf>
    <dxf>
      <font>
        <color theme="1"/>
      </font>
      <fill>
        <patternFill patternType="solid">
          <bgColor rgb="FFFF7C80"/>
        </patternFill>
      </fill>
    </dxf>
    <dxf>
      <fill>
        <patternFill patternType="solid">
          <fgColor indexed="64"/>
          <bgColor rgb="FFFF7C80"/>
        </patternFill>
      </fill>
    </dxf>
    <dxf>
      <font>
        <color theme="1"/>
      </font>
      <fill>
        <patternFill patternType="solid">
          <bgColor rgb="FFFF7C80"/>
        </patternFill>
      </fill>
    </dxf>
    <dxf>
      <font>
        <color rgb="FFFF0000"/>
      </font>
      <fill>
        <patternFill patternType="solid">
          <bgColor rgb="FFFF0000"/>
        </patternFill>
      </fill>
    </dxf>
    <dxf>
      <font>
        <color theme="9" tint="0.39997558519241921"/>
      </font>
      <fill>
        <patternFill patternType="solid">
          <bgColor theme="9" tint="0.399975585192419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7</xdr:row>
      <xdr:rowOff>0</xdr:rowOff>
    </xdr:from>
    <xdr:to>
      <xdr:col>3</xdr:col>
      <xdr:colOff>320936</xdr:colOff>
      <xdr:row>32</xdr:row>
      <xdr:rowOff>85497</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3</xdr:col>
      <xdr:colOff>419101</xdr:colOff>
      <xdr:row>15</xdr:row>
      <xdr:rowOff>19050</xdr:rowOff>
    </xdr:from>
    <xdr:to>
      <xdr:col>12</xdr:col>
      <xdr:colOff>217716</xdr:colOff>
      <xdr:row>34</xdr:row>
      <xdr:rowOff>155929</xdr:rowOff>
    </xdr:to>
    <xdr:pic>
      <xdr:nvPicPr>
        <xdr:cNvPr id="3"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15</xdr:col>
      <xdr:colOff>409575</xdr:colOff>
      <xdr:row>15</xdr:row>
      <xdr:rowOff>19050</xdr:rowOff>
    </xdr:from>
    <xdr:to>
      <xdr:col>19</xdr:col>
      <xdr:colOff>315272</xdr:colOff>
      <xdr:row>31</xdr:row>
      <xdr:rowOff>7910</xdr:rowOff>
    </xdr:to>
    <xdr:pic>
      <xdr:nvPicPr>
        <xdr:cNvPr id="4"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19</xdr:col>
      <xdr:colOff>152400</xdr:colOff>
      <xdr:row>15</xdr:row>
      <xdr:rowOff>19050</xdr:rowOff>
    </xdr:from>
    <xdr:to>
      <xdr:col>22</xdr:col>
      <xdr:colOff>959554</xdr:colOff>
      <xdr:row>23</xdr:row>
      <xdr:rowOff>27931</xdr:rowOff>
    </xdr:to>
    <xdr:pic>
      <xdr:nvPicPr>
        <xdr:cNvPr id="5"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oneCell">
    <xdr:from>
      <xdr:col>23</xdr:col>
      <xdr:colOff>66675</xdr:colOff>
      <xdr:row>15</xdr:row>
      <xdr:rowOff>9525</xdr:rowOff>
    </xdr:from>
    <xdr:to>
      <xdr:col>26</xdr:col>
      <xdr:colOff>911225</xdr:colOff>
      <xdr:row>23</xdr:row>
      <xdr:rowOff>161925</xdr:rowOff>
    </xdr:to>
    <xdr:pic>
      <xdr:nvPicPr>
        <xdr:cNvPr id="6"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oneCell">
    <xdr:from>
      <xdr:col>13</xdr:col>
      <xdr:colOff>28575</xdr:colOff>
      <xdr:row>6</xdr:row>
      <xdr:rowOff>171450</xdr:rowOff>
    </xdr:from>
    <xdr:to>
      <xdr:col>15</xdr:col>
      <xdr:colOff>501908</xdr:colOff>
      <xdr:row>33</xdr:row>
      <xdr:rowOff>67378</xdr:rowOff>
    </xdr:to>
    <xdr:pic>
      <xdr:nvPicPr>
        <xdr:cNvPr id="7"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A38"/>
  <sheetViews>
    <sheetView showGridLines="0" zoomScale="70" zoomScaleNormal="70" workbookViewId="0">
      <selection activeCell="E16" sqref="E16"/>
    </sheetView>
  </sheetViews>
  <sheetFormatPr defaultRowHeight="15" x14ac:dyDescent="0.25"/>
  <cols>
    <col min="1" max="1" width="4.7109375" customWidth="1"/>
    <col min="2" max="2" width="12.7109375" customWidth="1"/>
    <col min="4" max="4" width="6.42578125" customWidth="1"/>
    <col min="6" max="6" width="17.42578125" customWidth="1"/>
    <col min="15" max="15" width="10.5703125" customWidth="1"/>
    <col min="23" max="23" width="14.42578125" customWidth="1"/>
    <col min="27" max="27" width="14.140625" customWidth="1"/>
  </cols>
  <sheetData>
    <row r="1" spans="2:27" ht="18.600000000000001" customHeight="1" x14ac:dyDescent="0.25">
      <c r="B1" s="161" t="s">
        <v>0</v>
      </c>
      <c r="C1" s="162"/>
      <c r="D1" s="162"/>
      <c r="E1" s="162"/>
      <c r="F1" s="162"/>
      <c r="G1" s="162"/>
      <c r="H1" s="162"/>
      <c r="I1" s="162"/>
      <c r="J1" s="162"/>
      <c r="K1" s="162"/>
      <c r="L1" s="162"/>
      <c r="M1" s="162"/>
      <c r="N1" s="162"/>
      <c r="O1" s="162"/>
      <c r="P1" s="162"/>
      <c r="Q1" s="162"/>
      <c r="R1" s="162"/>
      <c r="S1" s="162"/>
      <c r="T1" s="162"/>
      <c r="U1" s="162"/>
      <c r="V1" s="162"/>
      <c r="W1" s="162"/>
      <c r="X1" s="162"/>
      <c r="Y1" s="162"/>
      <c r="Z1" s="162"/>
      <c r="AA1" s="163"/>
    </row>
    <row r="2" spans="2:27" s="1" customFormat="1" ht="18.600000000000001" customHeight="1" x14ac:dyDescent="0.25">
      <c r="B2" s="164"/>
      <c r="C2" s="165"/>
      <c r="D2" s="165"/>
      <c r="E2" s="165"/>
      <c r="F2" s="165"/>
      <c r="G2" s="165"/>
      <c r="H2" s="165"/>
      <c r="I2" s="165"/>
      <c r="J2" s="165"/>
      <c r="K2" s="165"/>
      <c r="L2" s="165"/>
      <c r="M2" s="165"/>
      <c r="N2" s="165"/>
      <c r="O2" s="165"/>
      <c r="P2" s="165"/>
      <c r="Q2" s="165"/>
      <c r="R2" s="165"/>
      <c r="S2" s="165"/>
      <c r="T2" s="165"/>
      <c r="U2" s="165"/>
      <c r="V2" s="165"/>
      <c r="W2" s="165"/>
      <c r="X2" s="165"/>
      <c r="Y2" s="165"/>
      <c r="Z2" s="165"/>
      <c r="AA2" s="166"/>
    </row>
    <row r="3" spans="2:27" s="2" customFormat="1" x14ac:dyDescent="0.25">
      <c r="B3" s="3"/>
      <c r="C3" s="4"/>
      <c r="D3" s="5"/>
      <c r="E3" s="5"/>
      <c r="F3" s="5"/>
      <c r="G3" s="5"/>
      <c r="H3" s="5"/>
      <c r="I3" s="5"/>
      <c r="J3" s="5"/>
      <c r="K3" s="5"/>
      <c r="L3" s="5"/>
      <c r="M3" s="5"/>
      <c r="N3" s="5"/>
      <c r="O3" s="5"/>
      <c r="P3" s="5"/>
      <c r="Q3" s="5"/>
      <c r="R3" s="5"/>
      <c r="S3" s="5"/>
      <c r="T3" s="5"/>
      <c r="U3" s="5"/>
      <c r="V3" s="5"/>
      <c r="W3" s="5"/>
      <c r="X3" s="5"/>
      <c r="Y3" s="5"/>
      <c r="Z3" s="5"/>
      <c r="AA3" s="6"/>
    </row>
    <row r="4" spans="2:27" x14ac:dyDescent="0.25">
      <c r="B4" s="7"/>
      <c r="AA4" s="8"/>
    </row>
    <row r="5" spans="2:27" x14ac:dyDescent="0.25">
      <c r="B5" s="7"/>
      <c r="AA5" s="8"/>
    </row>
    <row r="6" spans="2:27" x14ac:dyDescent="0.25">
      <c r="B6" s="7"/>
      <c r="AA6" s="8"/>
    </row>
    <row r="7" spans="2:27" ht="15.75" customHeight="1" x14ac:dyDescent="0.25">
      <c r="B7" s="7"/>
      <c r="AA7" s="8"/>
    </row>
    <row r="8" spans="2:27" x14ac:dyDescent="0.25">
      <c r="B8" s="7"/>
      <c r="E8" s="167" t="s">
        <v>1</v>
      </c>
      <c r="F8" s="168"/>
      <c r="G8" s="168"/>
      <c r="H8" s="168"/>
      <c r="I8" s="168"/>
      <c r="J8" s="168"/>
      <c r="K8" s="168"/>
      <c r="L8" s="168"/>
      <c r="M8" s="169"/>
      <c r="Q8" s="167" t="s">
        <v>2</v>
      </c>
      <c r="R8" s="168"/>
      <c r="S8" s="168"/>
      <c r="T8" s="168"/>
      <c r="U8" s="168"/>
      <c r="V8" s="168"/>
      <c r="W8" s="168"/>
      <c r="X8" s="168"/>
      <c r="Y8" s="168"/>
      <c r="Z8" s="168"/>
      <c r="AA8" s="169"/>
    </row>
    <row r="9" spans="2:27" x14ac:dyDescent="0.25">
      <c r="B9" s="7"/>
      <c r="E9" s="170"/>
      <c r="F9" s="171"/>
      <c r="G9" s="171"/>
      <c r="H9" s="171"/>
      <c r="I9" s="171"/>
      <c r="J9" s="171"/>
      <c r="K9" s="171"/>
      <c r="L9" s="171"/>
      <c r="M9" s="172"/>
      <c r="Q9" s="170"/>
      <c r="R9" s="171"/>
      <c r="S9" s="171"/>
      <c r="T9" s="171"/>
      <c r="U9" s="171"/>
      <c r="V9" s="171"/>
      <c r="W9" s="171"/>
      <c r="X9" s="171"/>
      <c r="Y9" s="171"/>
      <c r="Z9" s="171"/>
      <c r="AA9" s="172"/>
    </row>
    <row r="10" spans="2:27" x14ac:dyDescent="0.25">
      <c r="B10" s="7"/>
      <c r="E10" s="170"/>
      <c r="F10" s="171"/>
      <c r="G10" s="171"/>
      <c r="H10" s="171"/>
      <c r="I10" s="171"/>
      <c r="J10" s="171"/>
      <c r="K10" s="171"/>
      <c r="L10" s="171"/>
      <c r="M10" s="172"/>
      <c r="Q10" s="170"/>
      <c r="R10" s="171"/>
      <c r="S10" s="171"/>
      <c r="T10" s="171"/>
      <c r="U10" s="171"/>
      <c r="V10" s="171"/>
      <c r="W10" s="171"/>
      <c r="X10" s="171"/>
      <c r="Y10" s="171"/>
      <c r="Z10" s="171"/>
      <c r="AA10" s="172"/>
    </row>
    <row r="11" spans="2:27" x14ac:dyDescent="0.25">
      <c r="B11" s="7"/>
      <c r="E11" s="170"/>
      <c r="F11" s="171"/>
      <c r="G11" s="171"/>
      <c r="H11" s="171"/>
      <c r="I11" s="171"/>
      <c r="J11" s="171"/>
      <c r="K11" s="171"/>
      <c r="L11" s="171"/>
      <c r="M11" s="172"/>
      <c r="Q11" s="170"/>
      <c r="R11" s="171"/>
      <c r="S11" s="171"/>
      <c r="T11" s="171"/>
      <c r="U11" s="171"/>
      <c r="V11" s="171"/>
      <c r="W11" s="171"/>
      <c r="X11" s="171"/>
      <c r="Y11" s="171"/>
      <c r="Z11" s="171"/>
      <c r="AA11" s="172"/>
    </row>
    <row r="12" spans="2:27" x14ac:dyDescent="0.25">
      <c r="B12" s="7"/>
      <c r="E12" s="170"/>
      <c r="F12" s="171"/>
      <c r="G12" s="171"/>
      <c r="H12" s="171"/>
      <c r="I12" s="171"/>
      <c r="J12" s="171"/>
      <c r="K12" s="171"/>
      <c r="L12" s="171"/>
      <c r="M12" s="172"/>
      <c r="Q12" s="170"/>
      <c r="R12" s="171"/>
      <c r="S12" s="171"/>
      <c r="T12" s="171"/>
      <c r="U12" s="171"/>
      <c r="V12" s="171"/>
      <c r="W12" s="171"/>
      <c r="X12" s="171"/>
      <c r="Y12" s="171"/>
      <c r="Z12" s="171"/>
      <c r="AA12" s="172"/>
    </row>
    <row r="13" spans="2:27" x14ac:dyDescent="0.25">
      <c r="B13" s="7"/>
      <c r="E13" s="170"/>
      <c r="F13" s="171"/>
      <c r="G13" s="171"/>
      <c r="H13" s="171"/>
      <c r="I13" s="171"/>
      <c r="J13" s="171"/>
      <c r="K13" s="171"/>
      <c r="L13" s="171"/>
      <c r="M13" s="172"/>
      <c r="Q13" s="170"/>
      <c r="R13" s="171"/>
      <c r="S13" s="171"/>
      <c r="T13" s="171"/>
      <c r="U13" s="171"/>
      <c r="V13" s="171"/>
      <c r="W13" s="171"/>
      <c r="X13" s="171"/>
      <c r="Y13" s="171"/>
      <c r="Z13" s="171"/>
      <c r="AA13" s="172"/>
    </row>
    <row r="14" spans="2:27" x14ac:dyDescent="0.25">
      <c r="B14" s="7"/>
      <c r="E14" s="170"/>
      <c r="F14" s="171"/>
      <c r="G14" s="171"/>
      <c r="H14" s="171"/>
      <c r="I14" s="171"/>
      <c r="J14" s="171"/>
      <c r="K14" s="171"/>
      <c r="L14" s="171"/>
      <c r="M14" s="172"/>
      <c r="Q14" s="170"/>
      <c r="R14" s="171"/>
      <c r="S14" s="171"/>
      <c r="T14" s="171"/>
      <c r="U14" s="171"/>
      <c r="V14" s="171"/>
      <c r="W14" s="171"/>
      <c r="X14" s="171"/>
      <c r="Y14" s="171"/>
      <c r="Z14" s="171"/>
      <c r="AA14" s="172"/>
    </row>
    <row r="15" spans="2:27" ht="15.75" customHeight="1" x14ac:dyDescent="0.25">
      <c r="B15" s="7"/>
      <c r="E15" s="173"/>
      <c r="F15" s="174"/>
      <c r="G15" s="174"/>
      <c r="H15" s="174"/>
      <c r="I15" s="174"/>
      <c r="J15" s="174"/>
      <c r="K15" s="174"/>
      <c r="L15" s="174"/>
      <c r="M15" s="175"/>
      <c r="Q15" s="173"/>
      <c r="R15" s="174"/>
      <c r="S15" s="174"/>
      <c r="T15" s="174"/>
      <c r="U15" s="174"/>
      <c r="V15" s="174"/>
      <c r="W15" s="174"/>
      <c r="X15" s="174"/>
      <c r="Y15" s="174"/>
      <c r="Z15" s="174"/>
      <c r="AA15" s="175"/>
    </row>
    <row r="16" spans="2:27" x14ac:dyDescent="0.25">
      <c r="B16" s="7"/>
      <c r="AA16" s="8"/>
    </row>
    <row r="17" spans="2:27" x14ac:dyDescent="0.25">
      <c r="B17" s="7"/>
      <c r="AA17" s="8"/>
    </row>
    <row r="18" spans="2:27" x14ac:dyDescent="0.25">
      <c r="B18" s="7"/>
      <c r="AA18" s="8"/>
    </row>
    <row r="19" spans="2:27" x14ac:dyDescent="0.25">
      <c r="B19" s="7"/>
      <c r="AA19" s="8"/>
    </row>
    <row r="20" spans="2:27" x14ac:dyDescent="0.25">
      <c r="B20" s="7"/>
      <c r="AA20" s="8"/>
    </row>
    <row r="21" spans="2:27" x14ac:dyDescent="0.25">
      <c r="B21" s="7"/>
      <c r="AA21" s="8"/>
    </row>
    <row r="22" spans="2:27" x14ac:dyDescent="0.25">
      <c r="B22" s="7"/>
      <c r="AA22" s="8"/>
    </row>
    <row r="23" spans="2:27" x14ac:dyDescent="0.25">
      <c r="B23" s="7"/>
      <c r="AA23" s="8"/>
    </row>
    <row r="24" spans="2:27" x14ac:dyDescent="0.25">
      <c r="B24" s="7"/>
      <c r="AA24" s="8"/>
    </row>
    <row r="25" spans="2:27" x14ac:dyDescent="0.25">
      <c r="B25" s="7"/>
      <c r="AA25" s="8"/>
    </row>
    <row r="26" spans="2:27" x14ac:dyDescent="0.25">
      <c r="B26" s="7"/>
      <c r="AA26" s="8"/>
    </row>
    <row r="27" spans="2:27" x14ac:dyDescent="0.25">
      <c r="B27" s="7"/>
      <c r="AA27" s="8"/>
    </row>
    <row r="28" spans="2:27" x14ac:dyDescent="0.25">
      <c r="B28" s="7"/>
      <c r="AA28" s="8"/>
    </row>
    <row r="29" spans="2:27" x14ac:dyDescent="0.25">
      <c r="B29" s="7"/>
      <c r="AA29" s="8"/>
    </row>
    <row r="30" spans="2:27" x14ac:dyDescent="0.25">
      <c r="B30" s="7"/>
      <c r="AA30" s="8"/>
    </row>
    <row r="31" spans="2:27" x14ac:dyDescent="0.25">
      <c r="B31" s="7"/>
      <c r="AA31" s="8"/>
    </row>
    <row r="32" spans="2:27" x14ac:dyDescent="0.25">
      <c r="B32" s="7"/>
      <c r="AA32" s="8"/>
    </row>
    <row r="33" spans="2:27" x14ac:dyDescent="0.25">
      <c r="B33" s="7"/>
      <c r="AA33" s="8"/>
    </row>
    <row r="34" spans="2:27" x14ac:dyDescent="0.25">
      <c r="B34" s="7"/>
      <c r="AA34" s="8"/>
    </row>
    <row r="35" spans="2:27" ht="15.75" customHeight="1" x14ac:dyDescent="0.25">
      <c r="B35" s="9"/>
      <c r="C35" s="10"/>
      <c r="D35" s="10"/>
      <c r="E35" s="10"/>
      <c r="F35" s="10"/>
      <c r="G35" s="10"/>
      <c r="H35" s="10"/>
      <c r="I35" s="10"/>
      <c r="J35" s="10"/>
      <c r="K35" s="10"/>
      <c r="L35" s="10"/>
      <c r="M35" s="10"/>
      <c r="N35" s="10"/>
      <c r="O35" s="10"/>
      <c r="P35" s="10"/>
      <c r="Q35" s="10"/>
      <c r="R35" s="10"/>
      <c r="S35" s="10"/>
      <c r="T35" s="10"/>
      <c r="U35" s="10"/>
      <c r="V35" s="10"/>
      <c r="W35" s="10"/>
      <c r="X35" s="10"/>
      <c r="Y35" s="10"/>
      <c r="Z35" s="10"/>
      <c r="AA35" s="11"/>
    </row>
    <row r="36" spans="2:27" ht="18" customHeight="1" x14ac:dyDescent="0.25">
      <c r="F36" s="176" t="s">
        <v>3</v>
      </c>
      <c r="G36" s="176"/>
      <c r="H36" s="176"/>
      <c r="I36" s="176"/>
      <c r="J36" s="176"/>
      <c r="K36" s="176"/>
      <c r="M36" s="178" t="s">
        <v>4</v>
      </c>
      <c r="N36" s="178"/>
      <c r="O36" s="178"/>
      <c r="P36" s="178"/>
      <c r="Q36" s="178"/>
      <c r="R36" s="178"/>
      <c r="S36" s="178"/>
    </row>
    <row r="37" spans="2:27" x14ac:dyDescent="0.25">
      <c r="F37" s="177"/>
      <c r="G37" s="177"/>
      <c r="H37" s="177"/>
      <c r="I37" s="177"/>
      <c r="J37" s="177"/>
      <c r="K37" s="177"/>
      <c r="L37" s="12"/>
      <c r="M37" s="178"/>
      <c r="N37" s="178"/>
      <c r="O37" s="178"/>
      <c r="P37" s="178"/>
      <c r="Q37" s="178"/>
      <c r="R37" s="178"/>
      <c r="S37" s="178"/>
    </row>
    <row r="38" spans="2:27" x14ac:dyDescent="0.25">
      <c r="F38" s="12"/>
      <c r="G38" s="12"/>
      <c r="H38" s="12"/>
      <c r="I38" s="12"/>
      <c r="J38" s="12"/>
      <c r="K38" s="12"/>
      <c r="L38" s="12"/>
    </row>
  </sheetData>
  <mergeCells count="5">
    <mergeCell ref="B1:AA2"/>
    <mergeCell ref="E8:M15"/>
    <mergeCell ref="Q8:AA15"/>
    <mergeCell ref="F36:K37"/>
    <mergeCell ref="M36:S3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50"/>
  <sheetViews>
    <sheetView showGridLines="0" topLeftCell="A14" zoomScaleNormal="100" workbookViewId="0">
      <selection activeCell="O19" sqref="O19"/>
    </sheetView>
  </sheetViews>
  <sheetFormatPr defaultColWidth="9.140625" defaultRowHeight="12.75" customHeight="1" x14ac:dyDescent="0.25"/>
  <cols>
    <col min="1" max="1" width="1" customWidth="1"/>
    <col min="2" max="2" width="16.28515625" style="1" hidden="1" customWidth="1"/>
    <col min="3" max="3" width="10" style="1" customWidth="1"/>
    <col min="4" max="16" width="10" customWidth="1"/>
    <col min="17" max="17" width="1" customWidth="1"/>
    <col min="18" max="18" width="16.42578125" hidden="1" customWidth="1"/>
    <col min="19" max="19" width="12.7109375" hidden="1" customWidth="1"/>
    <col min="20" max="20" width="9" hidden="1" customWidth="1"/>
  </cols>
  <sheetData>
    <row r="1" spans="1:21" ht="12.75" hidden="1" customHeight="1" x14ac:dyDescent="0.25">
      <c r="A1" s="13"/>
      <c r="B1" s="14" t="s">
        <v>5</v>
      </c>
      <c r="C1" s="224" t="s">
        <v>6</v>
      </c>
      <c r="D1" s="187"/>
      <c r="E1" s="224" t="s">
        <v>7</v>
      </c>
      <c r="F1" s="187"/>
      <c r="G1" s="224" t="s">
        <v>8</v>
      </c>
      <c r="H1" s="187"/>
      <c r="I1" s="224" t="s">
        <v>9</v>
      </c>
      <c r="J1" s="187"/>
      <c r="K1" s="224" t="s">
        <v>10</v>
      </c>
      <c r="L1" s="187"/>
      <c r="M1" s="224" t="s">
        <v>11</v>
      </c>
      <c r="N1" s="187"/>
      <c r="O1" s="224" t="s">
        <v>12</v>
      </c>
      <c r="P1" s="187"/>
      <c r="R1" s="15" t="s">
        <v>13</v>
      </c>
    </row>
    <row r="2" spans="1:21" ht="12.75" hidden="1" customHeight="1" x14ac:dyDescent="0.25">
      <c r="A2" s="13"/>
      <c r="B2" s="16" t="s">
        <v>14</v>
      </c>
      <c r="C2" s="218">
        <f t="array" ref="C2">INDEX('AC and RGM only'!$N$1:$T$150, MATCH(TRUE, ISNUMBER(SEARCH($B$2, 'AC and RGM only'!$L$1:$L$150)), 0), MATCH(TRUE, ISNUMBER(SEARCH(C$1, 'AC and RGM only'!$D$2:$J$2)), 0))</f>
        <v>57</v>
      </c>
      <c r="D2" s="218"/>
      <c r="E2" s="218">
        <f t="array" ref="E2">INDEX('AC and RGM only'!$N$1:$T$150, MATCH(TRUE, ISNUMBER(SEARCH($B$2, 'AC and RGM only'!$L$1:$L$150)), 0), MATCH(TRUE, ISNUMBER(SEARCH(E$1, 'AC and RGM only'!$D$2:$J$2)), 0))</f>
        <v>81</v>
      </c>
      <c r="F2" s="218"/>
      <c r="G2" s="218">
        <f t="array" ref="G2">INDEX('AC and RGM only'!$N$1:$T$150, MATCH(TRUE, ISNUMBER(SEARCH($B$2, 'AC and RGM only'!$L$1:$L$150)), 0), MATCH(TRUE, ISNUMBER(SEARCH(G$1, 'AC and RGM only'!$D$2:$J$2)), 0))</f>
        <v>78</v>
      </c>
      <c r="H2" s="218"/>
      <c r="I2" s="218">
        <f t="array" ref="I2">INDEX('AC and RGM only'!$N$1:$T$150, MATCH(TRUE, ISNUMBER(SEARCH($B$2, 'AC and RGM only'!$L$1:$L$150)), 0), MATCH(TRUE, ISNUMBER(SEARCH(I$1, 'AC and RGM only'!$D$2:$J$2)), 0))</f>
        <v>99</v>
      </c>
      <c r="J2" s="218"/>
      <c r="K2" s="218">
        <f t="array" ref="K2">INDEX('AC and RGM only'!$N$1:$T$150, MATCH(TRUE, ISNUMBER(SEARCH($B$2, 'AC and RGM only'!$L$1:$L$150)), 0), MATCH(TRUE, ISNUMBER(SEARCH(K$1, 'AC and RGM only'!$D$2:$J$2)), 0))</f>
        <v>175</v>
      </c>
      <c r="L2" s="218"/>
      <c r="M2" s="218">
        <f t="array" ref="M2">INDEX('AC and RGM only'!$N$1:$T$150, MATCH(TRUE, ISNUMBER(SEARCH($B$2, 'AC and RGM only'!$L$1:$L$150)), 0), MATCH(TRUE, ISNUMBER(SEARCH(M$1, 'AC and RGM only'!$D$2:$J$2)), 0))</f>
        <v>147</v>
      </c>
      <c r="N2" s="218"/>
      <c r="O2" s="218">
        <f t="array" ref="O2">INDEX('AC and RGM only'!$N$1:$T$150, MATCH(TRUE, ISNUMBER(SEARCH($B$2, 'AC and RGM only'!$L$1:$L$150)), 0), MATCH(TRUE, ISNUMBER(SEARCH(O$1, 'AC and RGM only'!$D$2:$J$2)), 0))</f>
        <v>138</v>
      </c>
      <c r="P2" s="218"/>
      <c r="R2" s="17">
        <f>AVERAGE(C2:O2)</f>
        <v>110.71428571428571</v>
      </c>
    </row>
    <row r="3" spans="1:21" ht="12.75" hidden="1" customHeight="1" x14ac:dyDescent="0.25">
      <c r="A3" s="13"/>
      <c r="B3" s="16" t="s">
        <v>15</v>
      </c>
      <c r="C3" s="218">
        <f t="array" ref="C3">INDEX('AC and RGM only'!$N$1:$T$150, MATCH(TRUE, ISNUMBER(SEARCH($B$3, 'AC and RGM only'!$L$1:$L$150)), 0), MATCH(TRUE, ISNUMBER(SEARCH(C$1, 'AC and RGM only'!$D$2:$J$2)), 0))</f>
        <v>121</v>
      </c>
      <c r="D3" s="218"/>
      <c r="E3" s="218">
        <f t="array" ref="E3">INDEX('AC and RGM only'!$N$1:$T$150, MATCH(TRUE, ISNUMBER(SEARCH($B$3, 'AC and RGM only'!$L$1:$L$150)), 0), MATCH(TRUE, ISNUMBER(SEARCH(E$1, 'AC and RGM only'!$D$2:$J$2)), 0))</f>
        <v>141</v>
      </c>
      <c r="F3" s="218"/>
      <c r="G3" s="218">
        <f t="array" ref="G3">INDEX('AC and RGM only'!$N$1:$T$150, MATCH(TRUE, ISNUMBER(SEARCH($B$3, 'AC and RGM only'!$L$1:$L$150)), 0), MATCH(TRUE, ISNUMBER(SEARCH(G$1, 'AC and RGM only'!$D$2:$J$2)), 0))</f>
        <v>164</v>
      </c>
      <c r="H3" s="218"/>
      <c r="I3" s="218">
        <f t="array" ref="I3">INDEX('AC and RGM only'!$N$1:$T$150, MATCH(TRUE, ISNUMBER(SEARCH($B$3, 'AC and RGM only'!$L$1:$L$150)), 0), MATCH(TRUE, ISNUMBER(SEARCH(I$1, 'AC and RGM only'!$D$2:$J$2)), 0))</f>
        <v>203</v>
      </c>
      <c r="J3" s="218"/>
      <c r="K3" s="218">
        <f t="array" ref="K3">INDEX('AC and RGM only'!$N$1:$T$150, MATCH(TRUE, ISNUMBER(SEARCH($B$3, 'AC and RGM only'!$L$1:$L$150)), 0), MATCH(TRUE, ISNUMBER(SEARCH(K$1, 'AC and RGM only'!$D$2:$J$2)), 0))</f>
        <v>277</v>
      </c>
      <c r="L3" s="218"/>
      <c r="M3" s="218">
        <f t="array" ref="M3">INDEX('AC and RGM only'!$N$1:$T$150, MATCH(TRUE, ISNUMBER(SEARCH($B$3, 'AC and RGM only'!$L$1:$L$150)), 0), MATCH(TRUE, ISNUMBER(SEARCH(M$1, 'AC and RGM only'!$D$2:$J$2)), 0))</f>
        <v>259</v>
      </c>
      <c r="N3" s="218"/>
      <c r="O3" s="218">
        <f t="array" ref="O3">INDEX('AC and RGM only'!$N$1:$T$150, MATCH(TRUE, ISNUMBER(SEARCH($B$3, 'AC and RGM only'!$L$1:$L$150)), 0), MATCH(TRUE, ISNUMBER(SEARCH(O$1, 'AC and RGM only'!$D$2:$J$2)), 0))</f>
        <v>229</v>
      </c>
      <c r="P3" s="218"/>
      <c r="R3" s="17">
        <f>AVERAGE(C3:O3)</f>
        <v>199.14285714285714</v>
      </c>
    </row>
    <row r="4" spans="1:21" ht="12.75" hidden="1" customHeight="1" x14ac:dyDescent="0.25">
      <c r="A4" s="13"/>
      <c r="B4" s="16" t="s">
        <v>16</v>
      </c>
      <c r="C4" s="218">
        <f t="array" ref="C4">INDEX('AC and RGM only'!$N$1:$T$150, MATCH(TRUE, ISNUMBER(SEARCH($B$4, 'AC and RGM only'!$L$1:$L$150)), 0), MATCH(TRUE, ISNUMBER(SEARCH(C$1, 'AC and RGM only'!$D$2:$J$2)), 0))</f>
        <v>0.01</v>
      </c>
      <c r="D4" s="218"/>
      <c r="E4" s="218">
        <f t="array" ref="E4">INDEX('AC and RGM only'!$N$1:$T$150, MATCH(TRUE, ISNUMBER(SEARCH($B$4, 'AC and RGM only'!$L$1:$L$150)), 0), MATCH(TRUE, ISNUMBER(SEARCH(E$1, 'AC and RGM only'!$D$2:$J$2)), 0))</f>
        <v>0.02</v>
      </c>
      <c r="F4" s="218"/>
      <c r="G4" s="218">
        <f t="array" ref="G4">INDEX('AC and RGM only'!$N$1:$T$150, MATCH(TRUE, ISNUMBER(SEARCH($B$4, 'AC and RGM only'!$L$1:$L$150)), 0), MATCH(TRUE, ISNUMBER(SEARCH(G$1, 'AC and RGM only'!$D$2:$J$2)), 0))</f>
        <v>0.01</v>
      </c>
      <c r="H4" s="218"/>
      <c r="I4" s="218">
        <f t="array" ref="I4">INDEX('AC and RGM only'!$N$1:$T$150, MATCH(TRUE, ISNUMBER(SEARCH($B$4, 'AC and RGM only'!$L$1:$L$150)), 0), MATCH(TRUE, ISNUMBER(SEARCH(I$1, 'AC and RGM only'!$D$2:$J$2)), 0))</f>
        <v>0</v>
      </c>
      <c r="J4" s="218"/>
      <c r="K4" s="218">
        <f t="array" ref="K4">INDEX('AC and RGM only'!$N$1:$T$150, MATCH(TRUE, ISNUMBER(SEARCH($B$4, 'AC and RGM only'!$L$1:$L$150)), 0), MATCH(TRUE, ISNUMBER(SEARCH(K$1, 'AC and RGM only'!$D$2:$J$2)), 0))</f>
        <v>0.01</v>
      </c>
      <c r="L4" s="218"/>
      <c r="M4" s="218">
        <f t="array" ref="M4">INDEX('AC and RGM only'!$N$1:$T$150, MATCH(TRUE, ISNUMBER(SEARCH($B$4, 'AC and RGM only'!$L$1:$L$150)), 0), MATCH(TRUE, ISNUMBER(SEARCH(M$1, 'AC and RGM only'!$D$2:$J$2)), 0))</f>
        <v>0</v>
      </c>
      <c r="N4" s="218"/>
      <c r="O4" s="218">
        <f t="array" ref="O4">INDEX('AC and RGM only'!$N$1:$T$150, MATCH(TRUE, ISNUMBER(SEARCH($B$4, 'AC and RGM only'!$L$1:$L$150)), 0), MATCH(TRUE, ISNUMBER(SEARCH(O$1, 'AC and RGM only'!$D$2:$J$2)), 0))</f>
        <v>0</v>
      </c>
      <c r="P4" s="218"/>
      <c r="R4" s="17">
        <f>AVERAGE(C4:O4)</f>
        <v>7.1428571428571435E-3</v>
      </c>
    </row>
    <row r="5" spans="1:21" ht="12.75" hidden="1" customHeight="1" x14ac:dyDescent="0.25">
      <c r="A5" s="13"/>
      <c r="B5" s="16" t="s">
        <v>17</v>
      </c>
      <c r="C5" s="218">
        <f t="array" ref="C5">INDEX('AC and RGM only'!$N$1:$T$150, MATCH(TRUE, ISNUMBER(SEARCH($B$5, 'AC and RGM only'!$L$1:$L$150)), 0), MATCH(TRUE, ISNUMBER(SEARCH(C$1, 'AC and RGM only'!$D$2:$J$2)), 0))</f>
        <v>0.34</v>
      </c>
      <c r="D5" s="218"/>
      <c r="E5" s="218">
        <f t="array" ref="E5">INDEX('AC and RGM only'!$N$1:$T$150, MATCH(TRUE, ISNUMBER(SEARCH($B$5, 'AC and RGM only'!$L$1:$L$150)), 0), MATCH(TRUE, ISNUMBER(SEARCH(E$1, 'AC and RGM only'!$D$2:$J$2)), 0))</f>
        <v>0.48</v>
      </c>
      <c r="F5" s="218"/>
      <c r="G5" s="218">
        <f t="array" ref="G5">INDEX('AC and RGM only'!$N$1:$T$150, MATCH(TRUE, ISNUMBER(SEARCH($B$5, 'AC and RGM only'!$L$1:$L$150)), 0), MATCH(TRUE, ISNUMBER(SEARCH(G$1, 'AC and RGM only'!$D$2:$J$2)), 0))</f>
        <v>0.37</v>
      </c>
      <c r="H5" s="218"/>
      <c r="I5" s="218">
        <f t="array" ref="I5">INDEX('AC and RGM only'!$N$1:$T$150, MATCH(TRUE, ISNUMBER(SEARCH($B$5, 'AC and RGM only'!$L$1:$L$150)), 0), MATCH(TRUE, ISNUMBER(SEARCH(I$1, 'AC and RGM only'!$D$2:$J$2)), 0))</f>
        <v>0.51</v>
      </c>
      <c r="J5" s="218"/>
      <c r="K5" s="218">
        <f t="array" ref="K5">INDEX('AC and RGM only'!$N$1:$T$150, MATCH(TRUE, ISNUMBER(SEARCH($B$5, 'AC and RGM only'!$L$1:$L$150)), 0), MATCH(TRUE, ISNUMBER(SEARCH(K$1, 'AC and RGM only'!$D$2:$J$2)), 0))</f>
        <v>0.93</v>
      </c>
      <c r="L5" s="218"/>
      <c r="M5" s="218">
        <f t="array" ref="M5">INDEX('AC and RGM only'!$N$1:$T$150, MATCH(TRUE, ISNUMBER(SEARCH($B$5, 'AC and RGM only'!$L$1:$L$150)), 0), MATCH(TRUE, ISNUMBER(SEARCH(M$1, 'AC and RGM only'!$D$2:$J$2)), 0))</f>
        <v>0.99</v>
      </c>
      <c r="N5" s="218"/>
      <c r="O5" s="218">
        <f t="array" ref="O5">INDEX('AC and RGM only'!$N$1:$T$150, MATCH(TRUE, ISNUMBER(SEARCH($B$5, 'AC and RGM only'!$L$1:$L$150)), 0), MATCH(TRUE, ISNUMBER(SEARCH(O$1, 'AC and RGM only'!$D$2:$J$2)), 0))</f>
        <v>1</v>
      </c>
      <c r="P5" s="218"/>
      <c r="R5" s="17">
        <f>AVERAGE(C5:O5)</f>
        <v>0.66</v>
      </c>
    </row>
    <row r="6" spans="1:21" ht="12.75" hidden="1" customHeight="1" x14ac:dyDescent="0.25">
      <c r="A6" s="13"/>
      <c r="B6" s="18"/>
      <c r="C6" s="19"/>
      <c r="D6" s="19"/>
      <c r="E6" s="19"/>
      <c r="F6" s="19"/>
      <c r="G6" s="19"/>
      <c r="H6" s="19"/>
      <c r="I6" s="19"/>
      <c r="J6" s="19"/>
      <c r="K6" s="19"/>
      <c r="L6" s="19"/>
      <c r="M6" s="19"/>
      <c r="N6" s="19"/>
      <c r="O6" s="19"/>
      <c r="P6" s="19"/>
      <c r="R6" s="19"/>
    </row>
    <row r="7" spans="1:21" s="1" customFormat="1" ht="12.75" hidden="1" customHeight="1" x14ac:dyDescent="0.25">
      <c r="A7" s="20"/>
      <c r="B7" s="14" t="s">
        <v>5</v>
      </c>
      <c r="C7" s="21" t="s">
        <v>18</v>
      </c>
      <c r="D7" s="21" t="s">
        <v>19</v>
      </c>
      <c r="E7" s="21" t="s">
        <v>18</v>
      </c>
      <c r="F7" s="21" t="s">
        <v>19</v>
      </c>
      <c r="G7" s="21" t="s">
        <v>18</v>
      </c>
      <c r="H7" s="21" t="s">
        <v>19</v>
      </c>
      <c r="I7" s="21" t="s">
        <v>18</v>
      </c>
      <c r="J7" s="21" t="s">
        <v>19</v>
      </c>
      <c r="K7" s="21" t="s">
        <v>18</v>
      </c>
      <c r="L7" s="21" t="s">
        <v>19</v>
      </c>
      <c r="M7" s="21" t="s">
        <v>18</v>
      </c>
      <c r="N7" s="21" t="s">
        <v>19</v>
      </c>
      <c r="O7" s="22" t="s">
        <v>18</v>
      </c>
      <c r="P7" s="23" t="s">
        <v>19</v>
      </c>
      <c r="R7" s="233" t="s">
        <v>20</v>
      </c>
      <c r="S7" s="234"/>
      <c r="T7" s="234"/>
    </row>
    <row r="8" spans="1:21" ht="12.75" hidden="1" customHeight="1" x14ac:dyDescent="0.25">
      <c r="A8" s="13"/>
      <c r="B8" s="24" t="s">
        <v>21</v>
      </c>
      <c r="C8" s="25">
        <f>SUM(C2:E2)/36</f>
        <v>3.8333333333333335</v>
      </c>
      <c r="D8" s="25">
        <f>ROUNDUP(C8/$T$10,0)</f>
        <v>2</v>
      </c>
      <c r="E8" s="25">
        <f>SUM(E2:G2)/36</f>
        <v>4.416666666666667</v>
      </c>
      <c r="F8" s="25">
        <f>ROUNDUP(E8/$T$10,0)</f>
        <v>2</v>
      </c>
      <c r="G8" s="25">
        <f>SUM(G2:I2)/36</f>
        <v>4.916666666666667</v>
      </c>
      <c r="H8" s="25">
        <f>ROUNDUP(G8/$T$10,0)</f>
        <v>2</v>
      </c>
      <c r="I8" s="25">
        <f>SUM(I2:K2)/36</f>
        <v>7.6111111111111107</v>
      </c>
      <c r="J8" s="25">
        <f>ROUNDUP(I8/$T$10,0)</f>
        <v>3</v>
      </c>
      <c r="K8" s="25">
        <f>SUM(K2+M2)/36</f>
        <v>8.9444444444444446</v>
      </c>
      <c r="L8" s="25">
        <f>ROUNDUP(K8/$T$10,0)</f>
        <v>3</v>
      </c>
      <c r="M8" s="25">
        <f>SUM(M2+O2)/36</f>
        <v>7.916666666666667</v>
      </c>
      <c r="N8" s="25">
        <f>ROUNDUP(M8/$T$10,0)</f>
        <v>3</v>
      </c>
      <c r="O8" s="26">
        <f>SUM(O2+C2)/36</f>
        <v>5.416666666666667</v>
      </c>
      <c r="P8" s="25">
        <f>ROUNDUP(O8/$T$10,0)</f>
        <v>2</v>
      </c>
      <c r="R8" s="27" t="s">
        <v>16</v>
      </c>
      <c r="S8" s="235" t="s">
        <v>22</v>
      </c>
      <c r="T8" s="236"/>
    </row>
    <row r="9" spans="1:21" ht="12.75" hidden="1" customHeight="1" x14ac:dyDescent="0.25">
      <c r="A9" s="13"/>
      <c r="B9" s="24" t="s">
        <v>23</v>
      </c>
      <c r="C9" s="25">
        <f>SUM(C3:E3)/36</f>
        <v>7.2777777777777777</v>
      </c>
      <c r="D9" s="25">
        <f>ROUNDUP(C9/$T$11,0)</f>
        <v>3</v>
      </c>
      <c r="E9" s="25">
        <f>SUM(E3:G3)/36</f>
        <v>8.4722222222222214</v>
      </c>
      <c r="F9" s="25">
        <f>ROUNDUP(E9/$T$11,0)</f>
        <v>3</v>
      </c>
      <c r="G9" s="25">
        <f>SUM(G3:I3)/36</f>
        <v>10.194444444444445</v>
      </c>
      <c r="H9" s="25">
        <f>ROUNDUP(G9/$T$11,0)</f>
        <v>4</v>
      </c>
      <c r="I9" s="25">
        <f>SUM(I3:K3)/36</f>
        <v>13.333333333333334</v>
      </c>
      <c r="J9" s="25">
        <f>ROUNDUP(I9/$T$11,0)</f>
        <v>5</v>
      </c>
      <c r="K9" s="25">
        <f>SUM(K3+M3)/36</f>
        <v>14.888888888888889</v>
      </c>
      <c r="L9" s="25">
        <f>ROUNDUP(K9/$T$11,0)</f>
        <v>5</v>
      </c>
      <c r="M9" s="25">
        <f>SUM(M3+O3)/36</f>
        <v>13.555555555555555</v>
      </c>
      <c r="N9" s="25">
        <f>ROUNDUP(M9/$T$11,0)</f>
        <v>5</v>
      </c>
      <c r="O9" s="26">
        <f>SUM(O3+C3)/36</f>
        <v>9.7222222222222214</v>
      </c>
      <c r="P9" s="25">
        <f>ROUNDUP(O9/$T$11,0)</f>
        <v>4</v>
      </c>
      <c r="R9" s="27" t="s">
        <v>24</v>
      </c>
      <c r="S9" s="231" t="s">
        <v>25</v>
      </c>
      <c r="T9" s="232"/>
    </row>
    <row r="10" spans="1:21" ht="12.75" hidden="1" customHeight="1" x14ac:dyDescent="0.25">
      <c r="A10" s="13"/>
      <c r="B10" s="28" t="s">
        <v>16</v>
      </c>
      <c r="C10" s="26">
        <f t="array" ref="C10">_xlfn.LET(
     _xlpm.GRAMSOFTWIST,C4,
     _xlpm.GRAMSPERCUP,10,
_xlpm.GRAMSOFTWIST*_xlpm.GRAMSPERCUP)</f>
        <v>0.1</v>
      </c>
      <c r="D10" s="25">
        <f>C10/0.15</f>
        <v>0.66666666666666674</v>
      </c>
      <c r="E10" s="26">
        <f t="array" ref="E10">_xlfn.LET(
     _xlpm.GRAMSOFTWIST,E4,
     _xlpm.GRAMSPERCUP,10,
_xlpm.GRAMSOFTWIST*_xlpm.GRAMSPERCUP)</f>
        <v>0.2</v>
      </c>
      <c r="F10" s="25">
        <f>E10/0.15</f>
        <v>1.3333333333333335</v>
      </c>
      <c r="G10" s="26">
        <f t="array" ref="G10">_xlfn.LET(
     _xlpm.GRAMSOFTWIST,G4,
     _xlpm.GRAMSPERCUP,10,
_xlpm.GRAMSOFTWIST*_xlpm.GRAMSPERCUP)</f>
        <v>0.1</v>
      </c>
      <c r="H10" s="25">
        <f>G10/0.15</f>
        <v>0.66666666666666674</v>
      </c>
      <c r="I10" s="26">
        <f t="array" ref="I10">_xlfn.LET(
     _xlpm.GRAMSOFTWIST,I4,
     _xlpm.GRAMSPERCUP,10,
_xlpm.GRAMSOFTWIST*_xlpm.GRAMSPERCUP)</f>
        <v>0</v>
      </c>
      <c r="J10" s="25">
        <f>I10/0.15</f>
        <v>0</v>
      </c>
      <c r="K10" s="26">
        <f t="array" ref="K10">_xlfn.LET(
     _xlpm.GRAMSOFTWIST,K4,
     _xlpm.GRAMSPERCUP,10,
_xlpm.GRAMSOFTWIST*_xlpm.GRAMSPERCUP)</f>
        <v>0.1</v>
      </c>
      <c r="L10" s="25">
        <f>K10/0.15</f>
        <v>0.66666666666666674</v>
      </c>
      <c r="M10" s="26">
        <f t="array" ref="M10">_xlfn.LET(
     _xlpm.GRAMSOFTWIST,M4,
     _xlpm.GRAMSPERCUP,10,
_xlpm.GRAMSOFTWIST*_xlpm.GRAMSPERCUP)</f>
        <v>0</v>
      </c>
      <c r="N10" s="25">
        <f>M10/0.15</f>
        <v>0</v>
      </c>
      <c r="O10" s="26">
        <f t="array" ref="O10">_xlfn.LET(
     _xlpm.GRAMSOFTWIST,O4,
     _xlpm.GRAMSPERCUP,10,
_xlpm.GRAMSOFTWIST*_xlpm.GRAMSPERCUP)</f>
        <v>0</v>
      </c>
      <c r="P10" s="25">
        <f>O10/0.15</f>
        <v>0</v>
      </c>
      <c r="R10" s="27" t="s">
        <v>21</v>
      </c>
      <c r="S10" s="29" t="s">
        <v>26</v>
      </c>
      <c r="T10" s="30">
        <v>3</v>
      </c>
    </row>
    <row r="11" spans="1:21" ht="12.75" hidden="1" customHeight="1" x14ac:dyDescent="0.25">
      <c r="A11" s="13"/>
      <c r="B11" s="24" t="s">
        <v>27</v>
      </c>
      <c r="C11" s="25">
        <f>SUM(C5:E5)</f>
        <v>0.82000000000000006</v>
      </c>
      <c r="D11" s="31"/>
      <c r="E11" s="25">
        <f>SUM(E5:G5)</f>
        <v>0.85</v>
      </c>
      <c r="F11" s="31"/>
      <c r="G11" s="25">
        <f>SUM(G5:I5)</f>
        <v>0.88</v>
      </c>
      <c r="H11" s="31"/>
      <c r="I11" s="25">
        <f>SUM(I5:K5)</f>
        <v>1.44</v>
      </c>
      <c r="J11" s="31"/>
      <c r="K11" s="25">
        <f>SUM(K5+M5)</f>
        <v>1.92</v>
      </c>
      <c r="L11" s="31"/>
      <c r="M11" s="25">
        <f>SUM(M5+O5)</f>
        <v>1.99</v>
      </c>
      <c r="N11" s="31"/>
      <c r="O11" s="26">
        <f>SUM(O5+C5)</f>
        <v>1.34</v>
      </c>
      <c r="P11" s="31"/>
      <c r="R11" s="27" t="s">
        <v>23</v>
      </c>
      <c r="S11" s="32" t="s">
        <v>26</v>
      </c>
      <c r="T11" s="33">
        <v>3</v>
      </c>
    </row>
    <row r="12" spans="1:21" ht="12.75" hidden="1" customHeight="1" x14ac:dyDescent="0.25">
      <c r="A12" s="13"/>
      <c r="B12" s="20"/>
      <c r="C12" s="20"/>
      <c r="D12" s="13"/>
      <c r="E12" s="13"/>
      <c r="F12" s="13"/>
      <c r="G12" s="13"/>
      <c r="H12" s="13"/>
      <c r="I12" s="13"/>
      <c r="J12" s="13"/>
      <c r="K12" s="13"/>
      <c r="L12" s="13"/>
      <c r="M12" s="13"/>
      <c r="N12" s="13"/>
      <c r="O12" s="13"/>
      <c r="P12" s="13"/>
      <c r="Q12" s="13"/>
      <c r="S12" s="13"/>
    </row>
    <row r="13" spans="1:21" ht="12.75" hidden="1" customHeight="1" x14ac:dyDescent="0.25">
      <c r="O13" s="34"/>
      <c r="P13" s="34"/>
    </row>
    <row r="14" spans="1:21" ht="12.75" customHeight="1" x14ac:dyDescent="0.25">
      <c r="C14" s="35"/>
      <c r="D14" s="35"/>
      <c r="E14" s="201" t="s">
        <v>28</v>
      </c>
      <c r="F14" s="201"/>
      <c r="G14" s="201"/>
      <c r="H14" s="201"/>
      <c r="I14" s="201"/>
      <c r="J14" s="201"/>
      <c r="K14" s="201"/>
      <c r="L14" s="201"/>
      <c r="M14" s="201"/>
      <c r="N14" s="201"/>
      <c r="O14" s="202" t="s">
        <v>29</v>
      </c>
      <c r="P14" s="202"/>
    </row>
    <row r="15" spans="1:21" ht="12.75" customHeight="1" x14ac:dyDescent="0.25">
      <c r="C15" s="35"/>
      <c r="D15" s="35"/>
      <c r="E15" s="201"/>
      <c r="F15" s="201"/>
      <c r="G15" s="201"/>
      <c r="H15" s="201"/>
      <c r="I15" s="201"/>
      <c r="J15" s="201"/>
      <c r="K15" s="201"/>
      <c r="L15" s="201"/>
      <c r="M15" s="201"/>
      <c r="N15" s="201"/>
      <c r="O15" s="203" t="str">
        <f>TRIM(RIGHT(SUBSTITUTE('AC and RGM only'!D2,CHAR(10),REPT(" ",100)),100)) &amp; " to " &amp; TRIM(RIGHT(SUBSTITUTE('AC and RGM only'!J2,CHAR(10),REPT(" ",100)),100))</f>
        <v>14-May-26 to 20-May-26</v>
      </c>
      <c r="P15" s="203"/>
    </row>
    <row r="16" spans="1:21" ht="12.75" customHeight="1" x14ac:dyDescent="0.25">
      <c r="B16" s="2"/>
      <c r="C16" s="2"/>
      <c r="D16" s="36"/>
      <c r="E16" s="36"/>
      <c r="F16" s="36"/>
      <c r="G16" s="36"/>
      <c r="H16" s="36"/>
      <c r="I16" s="36"/>
      <c r="J16" s="36"/>
      <c r="K16" s="36"/>
      <c r="L16" s="36"/>
      <c r="M16" s="36"/>
      <c r="N16" s="36"/>
      <c r="O16" s="37"/>
      <c r="P16" s="37"/>
      <c r="U16" s="38"/>
    </row>
    <row r="17" spans="1:24" ht="12.75" customHeight="1" x14ac:dyDescent="0.25">
      <c r="A17" s="196"/>
      <c r="B17" s="20"/>
      <c r="C17" s="212" t="s">
        <v>6</v>
      </c>
      <c r="D17" s="212"/>
      <c r="E17" s="212"/>
      <c r="F17" s="212"/>
      <c r="G17" s="39"/>
      <c r="H17" s="212" t="s">
        <v>7</v>
      </c>
      <c r="I17" s="212"/>
      <c r="J17" s="212"/>
      <c r="K17" s="212"/>
      <c r="L17" s="39"/>
      <c r="M17" s="212" t="s">
        <v>8</v>
      </c>
      <c r="N17" s="212"/>
      <c r="O17" s="212"/>
      <c r="P17" s="212"/>
    </row>
    <row r="18" spans="1:24" ht="12.75" customHeight="1" x14ac:dyDescent="0.25">
      <c r="A18" s="196"/>
      <c r="B18" s="20"/>
      <c r="C18" s="189" t="s">
        <v>30</v>
      </c>
      <c r="D18" s="189"/>
      <c r="E18" s="189" t="s">
        <v>31</v>
      </c>
      <c r="F18" s="189"/>
      <c r="G18" s="40"/>
      <c r="H18" s="189" t="s">
        <v>30</v>
      </c>
      <c r="I18" s="189"/>
      <c r="J18" s="189" t="s">
        <v>31</v>
      </c>
      <c r="K18" s="189"/>
      <c r="L18" s="40"/>
      <c r="M18" s="189" t="s">
        <v>30</v>
      </c>
      <c r="N18" s="189"/>
      <c r="O18" s="189" t="s">
        <v>31</v>
      </c>
      <c r="P18" s="189"/>
      <c r="Q18" s="41"/>
      <c r="R18" s="41"/>
      <c r="S18" s="41"/>
      <c r="T18" s="41"/>
      <c r="U18" s="41"/>
      <c r="V18" s="41"/>
      <c r="W18" s="41"/>
      <c r="X18" s="41"/>
    </row>
    <row r="19" spans="1:24" ht="12.75" customHeight="1" x14ac:dyDescent="0.25">
      <c r="A19" s="196"/>
      <c r="B19" s="20"/>
      <c r="C19" s="204" t="s">
        <v>21</v>
      </c>
      <c r="D19" s="204"/>
      <c r="E19" s="225" t="str">
        <f>D8 &amp; " TRAYS"</f>
        <v>2 TRAYS</v>
      </c>
      <c r="F19" s="225"/>
      <c r="G19" s="42"/>
      <c r="H19" s="204" t="s">
        <v>21</v>
      </c>
      <c r="I19" s="204"/>
      <c r="J19" s="225" t="str">
        <f>F8 &amp; " TRAYS"</f>
        <v>2 TRAYS</v>
      </c>
      <c r="K19" s="225"/>
      <c r="L19" s="42"/>
      <c r="M19" s="204" t="s">
        <v>21</v>
      </c>
      <c r="N19" s="204"/>
      <c r="O19" s="225" t="str">
        <f>H8 &amp; " TRAYS"</f>
        <v>2 TRAYS</v>
      </c>
      <c r="P19" s="225"/>
      <c r="Q19" s="41"/>
      <c r="R19" s="41"/>
      <c r="S19" s="41"/>
      <c r="T19" s="41"/>
      <c r="U19" s="41"/>
      <c r="V19" s="41"/>
      <c r="W19" s="41"/>
      <c r="X19" s="41"/>
    </row>
    <row r="20" spans="1:24" ht="12.75" customHeight="1" x14ac:dyDescent="0.25">
      <c r="A20" s="196"/>
      <c r="B20" s="20"/>
      <c r="C20" s="204" t="s">
        <v>23</v>
      </c>
      <c r="D20" s="204"/>
      <c r="E20" s="225" t="str">
        <f>D9 &amp; " TRAYS"</f>
        <v>3 TRAYS</v>
      </c>
      <c r="F20" s="225"/>
      <c r="G20" s="42"/>
      <c r="H20" s="204" t="s">
        <v>23</v>
      </c>
      <c r="I20" s="204"/>
      <c r="J20" s="225" t="str">
        <f>F9 &amp; " TRAYS"</f>
        <v>3 TRAYS</v>
      </c>
      <c r="K20" s="225"/>
      <c r="L20" s="42"/>
      <c r="M20" s="204" t="s">
        <v>23</v>
      </c>
      <c r="N20" s="204"/>
      <c r="O20" s="225" t="str">
        <f>H9 &amp; " TRAYS"</f>
        <v>4 TRAYS</v>
      </c>
      <c r="P20" s="225"/>
      <c r="Q20" s="41"/>
      <c r="R20" s="41"/>
      <c r="S20" s="41"/>
      <c r="T20" s="41"/>
      <c r="U20" s="41"/>
      <c r="V20" s="41"/>
      <c r="W20" s="41"/>
      <c r="X20" s="41"/>
    </row>
    <row r="21" spans="1:24" ht="12.75" customHeight="1" x14ac:dyDescent="0.25">
      <c r="A21" s="196"/>
      <c r="B21" s="20"/>
      <c r="C21" s="230" t="s">
        <v>16</v>
      </c>
      <c r="D21" s="230"/>
      <c r="E21" s="180" t="str">
        <f>ROUNDUP(D10,0) &amp; " RED CUPS"</f>
        <v>1 RED CUPS</v>
      </c>
      <c r="F21" s="180"/>
      <c r="G21" s="43"/>
      <c r="H21" s="230" t="s">
        <v>16</v>
      </c>
      <c r="I21" s="230"/>
      <c r="J21" s="180" t="str">
        <f>ROUNDUP(F10,0) &amp; " RED CUPS"</f>
        <v>2 RED CUPS</v>
      </c>
      <c r="K21" s="180"/>
      <c r="L21" s="43"/>
      <c r="M21" s="230" t="s">
        <v>16</v>
      </c>
      <c r="N21" s="230"/>
      <c r="O21" s="180" t="str">
        <f>ROUNDUP(H10,0) &amp; " RED CUPS"</f>
        <v>1 RED CUPS</v>
      </c>
      <c r="P21" s="180"/>
      <c r="Q21" s="41"/>
      <c r="R21" s="41"/>
      <c r="S21" s="41"/>
      <c r="T21" s="41"/>
      <c r="U21" s="41"/>
      <c r="V21" s="41"/>
      <c r="W21" s="41"/>
      <c r="X21" s="41"/>
    </row>
    <row r="22" spans="1:24" ht="12.75" customHeight="1" x14ac:dyDescent="0.25">
      <c r="A22" s="196"/>
      <c r="B22" s="20"/>
      <c r="C22" s="204" t="s">
        <v>27</v>
      </c>
      <c r="D22" s="204"/>
      <c r="E22" s="180" t="str">
        <f>_xlfn.LET(_xlpm.NumberOfBoxes,C11,
     _xlpm.NumberOfTubsPerBox,1.5,
     _xlpm.RoundTo,0.5,
MROUND(_xlpm.NumberOfBoxes*_xlpm.NumberOfTubsPerBox,_xlpm.RoundTo)&amp;" TUBS")</f>
        <v>1 TUBS</v>
      </c>
      <c r="F22" s="180"/>
      <c r="G22" s="43"/>
      <c r="H22" s="204" t="s">
        <v>27</v>
      </c>
      <c r="I22" s="204"/>
      <c r="J22" s="180" t="str">
        <f>_xlfn.LET(_xlpm.NumberOfBoxes,E11,
     _xlpm.NumberOfTubsPerBox,1.5,
     _xlpm.RoundTo,0.5,
MROUND(_xlpm.NumberOfBoxes*_xlpm.NumberOfTubsPerBox,_xlpm.RoundTo)&amp;" TUBS")</f>
        <v>1.5 TUBS</v>
      </c>
      <c r="K22" s="180"/>
      <c r="L22" s="43"/>
      <c r="M22" s="204" t="s">
        <v>27</v>
      </c>
      <c r="N22" s="204"/>
      <c r="O22" s="180" t="str">
        <f>_xlfn.LET(_xlpm.NumberOfBoxes,G11,
     _xlpm.NumberOfTubsPerBox,1.5,
     _xlpm.RoundTo,0.5,
MROUND(_xlpm.NumberOfBoxes*_xlpm.NumberOfTubsPerBox,_xlpm.RoundTo)&amp;" TUBS")</f>
        <v>1.5 TUBS</v>
      </c>
      <c r="P22" s="180"/>
      <c r="Q22" s="41"/>
      <c r="R22" s="41"/>
      <c r="S22" s="41"/>
      <c r="T22" s="41"/>
      <c r="U22" s="41"/>
      <c r="V22" s="41"/>
      <c r="W22" s="41"/>
      <c r="X22" s="41"/>
    </row>
    <row r="23" spans="1:24" ht="12.75" customHeight="1" x14ac:dyDescent="0.25">
      <c r="A23" s="196"/>
      <c r="B23" s="44"/>
      <c r="C23" s="44"/>
      <c r="D23" s="44"/>
      <c r="E23" s="44"/>
      <c r="F23" s="45"/>
      <c r="G23" s="45"/>
      <c r="H23" s="45"/>
      <c r="I23" s="45"/>
      <c r="J23" s="45"/>
      <c r="K23" s="45"/>
      <c r="L23" s="45"/>
      <c r="M23" s="45"/>
      <c r="N23" s="45"/>
      <c r="O23" s="46"/>
      <c r="P23" s="46"/>
      <c r="Q23" s="41"/>
      <c r="R23" s="41"/>
      <c r="S23" s="41"/>
      <c r="T23" s="41"/>
      <c r="U23" s="41"/>
      <c r="V23" s="41"/>
      <c r="W23" s="41"/>
      <c r="X23" s="41"/>
    </row>
    <row r="24" spans="1:24" ht="12.75" customHeight="1" x14ac:dyDescent="0.25">
      <c r="A24" s="196"/>
      <c r="B24" s="20"/>
      <c r="C24" s="212" t="s">
        <v>9</v>
      </c>
      <c r="D24" s="212"/>
      <c r="E24" s="212"/>
      <c r="F24" s="212"/>
      <c r="G24" s="39"/>
      <c r="H24" s="212" t="s">
        <v>10</v>
      </c>
      <c r="I24" s="212"/>
      <c r="J24" s="212"/>
      <c r="K24" s="212"/>
      <c r="L24" s="39"/>
      <c r="M24" s="212" t="s">
        <v>11</v>
      </c>
      <c r="N24" s="212"/>
      <c r="O24" s="212"/>
      <c r="P24" s="212"/>
    </row>
    <row r="25" spans="1:24" ht="12.75" customHeight="1" x14ac:dyDescent="0.25">
      <c r="A25" s="196"/>
      <c r="B25" s="20"/>
      <c r="C25" s="189" t="s">
        <v>30</v>
      </c>
      <c r="D25" s="189"/>
      <c r="E25" s="189" t="s">
        <v>31</v>
      </c>
      <c r="F25" s="189"/>
      <c r="G25" s="40"/>
      <c r="H25" s="189" t="s">
        <v>30</v>
      </c>
      <c r="I25" s="189"/>
      <c r="J25" s="189" t="s">
        <v>31</v>
      </c>
      <c r="K25" s="189"/>
      <c r="L25" s="40"/>
      <c r="M25" s="189" t="s">
        <v>30</v>
      </c>
      <c r="N25" s="189"/>
      <c r="O25" s="189" t="s">
        <v>31</v>
      </c>
      <c r="P25" s="189"/>
      <c r="Q25" s="41"/>
      <c r="R25" s="41"/>
      <c r="S25" s="41"/>
      <c r="T25" s="41"/>
      <c r="U25" s="41"/>
      <c r="V25" s="41"/>
      <c r="W25" s="41"/>
      <c r="X25" s="41"/>
    </row>
    <row r="26" spans="1:24" ht="12.75" customHeight="1" x14ac:dyDescent="0.25">
      <c r="A26" s="196"/>
      <c r="B26" s="20"/>
      <c r="C26" s="204" t="s">
        <v>21</v>
      </c>
      <c r="D26" s="204"/>
      <c r="E26" s="225" t="str">
        <f>J8 &amp; " TRAYS"</f>
        <v>3 TRAYS</v>
      </c>
      <c r="F26" s="225"/>
      <c r="G26" s="42"/>
      <c r="H26" s="204" t="s">
        <v>21</v>
      </c>
      <c r="I26" s="204"/>
      <c r="J26" s="225" t="str">
        <f>L8 &amp; " TRAYS"</f>
        <v>3 TRAYS</v>
      </c>
      <c r="K26" s="225"/>
      <c r="L26" s="42"/>
      <c r="M26" s="204" t="s">
        <v>21</v>
      </c>
      <c r="N26" s="204"/>
      <c r="O26" s="225" t="str">
        <f>N8 &amp; " TRAYS"</f>
        <v>3 TRAYS</v>
      </c>
      <c r="P26" s="225"/>
      <c r="Q26" s="41"/>
      <c r="R26" s="41"/>
      <c r="S26" s="41"/>
      <c r="T26" s="41"/>
      <c r="U26" s="41"/>
      <c r="V26" s="41"/>
      <c r="W26" s="41"/>
      <c r="X26" s="41"/>
    </row>
    <row r="27" spans="1:24" ht="12.75" customHeight="1" x14ac:dyDescent="0.25">
      <c r="A27" s="196"/>
      <c r="B27" s="20"/>
      <c r="C27" s="204" t="s">
        <v>23</v>
      </c>
      <c r="D27" s="204"/>
      <c r="E27" s="225" t="str">
        <f>J9 &amp; " TRAYS"</f>
        <v>5 TRAYS</v>
      </c>
      <c r="F27" s="225"/>
      <c r="G27" s="42"/>
      <c r="H27" s="204" t="s">
        <v>23</v>
      </c>
      <c r="I27" s="204"/>
      <c r="J27" s="225" t="str">
        <f>L9 &amp; " TRAYS"</f>
        <v>5 TRAYS</v>
      </c>
      <c r="K27" s="225"/>
      <c r="L27" s="42"/>
      <c r="M27" s="204" t="s">
        <v>23</v>
      </c>
      <c r="N27" s="204"/>
      <c r="O27" s="225" t="str">
        <f>N9 &amp; " TRAYS"</f>
        <v>5 TRAYS</v>
      </c>
      <c r="P27" s="225"/>
      <c r="Q27" s="41"/>
      <c r="R27" s="41"/>
      <c r="S27" s="41"/>
      <c r="T27" s="41"/>
      <c r="U27" s="41"/>
      <c r="V27" s="41"/>
      <c r="W27" s="41"/>
      <c r="X27" s="41"/>
    </row>
    <row r="28" spans="1:24" ht="12.75" customHeight="1" x14ac:dyDescent="0.25">
      <c r="A28" s="196"/>
      <c r="B28" s="20"/>
      <c r="C28" s="230" t="s">
        <v>16</v>
      </c>
      <c r="D28" s="230"/>
      <c r="E28" s="180" t="str">
        <f>ROUNDUP(J10,0) &amp; " RED CUPS"</f>
        <v>0 RED CUPS</v>
      </c>
      <c r="F28" s="180"/>
      <c r="G28" s="43"/>
      <c r="H28" s="230" t="s">
        <v>16</v>
      </c>
      <c r="I28" s="230"/>
      <c r="J28" s="180" t="str">
        <f>ROUNDUP(L10,0) &amp; " RED CUPS"</f>
        <v>1 RED CUPS</v>
      </c>
      <c r="K28" s="180"/>
      <c r="L28" s="43"/>
      <c r="M28" s="230" t="s">
        <v>16</v>
      </c>
      <c r="N28" s="230"/>
      <c r="O28" s="180" t="str">
        <f>ROUNDUP(N10,0) &amp; " RED CUPS"</f>
        <v>0 RED CUPS</v>
      </c>
      <c r="P28" s="180"/>
      <c r="Q28" s="41"/>
      <c r="R28" s="41"/>
      <c r="S28" s="41"/>
      <c r="T28" s="41"/>
      <c r="U28" s="41"/>
      <c r="V28" s="41"/>
      <c r="W28" s="41"/>
      <c r="X28" s="41"/>
    </row>
    <row r="29" spans="1:24" ht="12.75" customHeight="1" x14ac:dyDescent="0.25">
      <c r="A29" s="196"/>
      <c r="B29" s="20"/>
      <c r="C29" s="204" t="s">
        <v>27</v>
      </c>
      <c r="D29" s="204"/>
      <c r="E29" s="180" t="str">
        <f>_xlfn.LET(_xlpm.NumberOfBoxes,I11,
     _xlpm.NumberOfTubsPerBox,1.5,
     _xlpm.RoundTo,0.5,
MROUND(_xlpm.NumberOfBoxes*_xlpm.NumberOfTubsPerBox,_xlpm.RoundTo)&amp;" TUBS")</f>
        <v>2 TUBS</v>
      </c>
      <c r="F29" s="180"/>
      <c r="G29" s="43"/>
      <c r="H29" s="204" t="s">
        <v>27</v>
      </c>
      <c r="I29" s="204"/>
      <c r="J29" s="180" t="str">
        <f>_xlfn.LET(_xlpm.NumberOfBoxes,K11,
     _xlpm.NumberOfTubsPerBox,1.5,
     _xlpm.RoundTo,0.5,
MROUND(_xlpm.NumberOfBoxes*_xlpm.NumberOfTubsPerBox,_xlpm.RoundTo)&amp;" TUBS")</f>
        <v>3 TUBS</v>
      </c>
      <c r="K29" s="180"/>
      <c r="L29" s="43"/>
      <c r="M29" s="204" t="s">
        <v>27</v>
      </c>
      <c r="N29" s="204"/>
      <c r="O29" s="180" t="str">
        <f>_xlfn.LET(_xlpm.NumberOfBoxes,M11,
     _xlpm.NumberOfTubsPerBox,1.5,
     _xlpm.RoundTo,0.5,
MROUND(_xlpm.NumberOfBoxes*_xlpm.NumberOfTubsPerBox,_xlpm.RoundTo)&amp;" TUBS")</f>
        <v>3 TUBS</v>
      </c>
      <c r="P29" s="180"/>
      <c r="Q29" s="41"/>
      <c r="R29" s="41"/>
      <c r="S29" s="41"/>
      <c r="T29" s="41"/>
      <c r="U29" s="41"/>
      <c r="V29" s="41"/>
      <c r="W29" s="41"/>
      <c r="X29" s="41"/>
    </row>
    <row r="30" spans="1:24" ht="12.75" customHeight="1" x14ac:dyDescent="0.25">
      <c r="A30" s="196"/>
      <c r="B30" s="45"/>
      <c r="C30" s="45"/>
      <c r="D30" s="45"/>
      <c r="E30" s="45"/>
      <c r="F30" s="45"/>
      <c r="G30" s="45"/>
      <c r="H30" s="45"/>
      <c r="I30" s="45"/>
      <c r="J30" s="45"/>
      <c r="K30" s="45"/>
      <c r="L30" s="45"/>
      <c r="M30" s="45"/>
      <c r="N30" s="45"/>
      <c r="O30" s="46"/>
      <c r="P30" s="46"/>
      <c r="Q30" s="41"/>
      <c r="R30" s="41"/>
      <c r="S30" s="41"/>
      <c r="T30" s="41"/>
      <c r="U30" s="41"/>
      <c r="V30" s="41"/>
      <c r="W30" s="41"/>
      <c r="X30" s="41"/>
    </row>
    <row r="31" spans="1:24" ht="12.75" customHeight="1" x14ac:dyDescent="0.25">
      <c r="A31" s="196"/>
      <c r="B31" s="2"/>
      <c r="C31" s="2"/>
      <c r="D31" s="2"/>
      <c r="E31" s="2"/>
      <c r="F31" s="2"/>
      <c r="G31" s="2"/>
      <c r="H31" s="212" t="s">
        <v>12</v>
      </c>
      <c r="I31" s="212"/>
      <c r="J31" s="212"/>
      <c r="K31" s="212"/>
      <c r="L31" s="39"/>
      <c r="M31" s="2"/>
      <c r="N31" s="2"/>
      <c r="O31" s="47"/>
      <c r="P31" s="47"/>
    </row>
    <row r="32" spans="1:24" ht="12.75" customHeight="1" x14ac:dyDescent="0.25">
      <c r="A32" s="196"/>
      <c r="B32" s="48"/>
      <c r="C32" s="48"/>
      <c r="D32" s="41"/>
      <c r="E32" s="45"/>
      <c r="F32" s="45"/>
      <c r="G32" s="45"/>
      <c r="H32" s="189" t="s">
        <v>30</v>
      </c>
      <c r="I32" s="189"/>
      <c r="J32" s="189" t="s">
        <v>31</v>
      </c>
      <c r="K32" s="189"/>
      <c r="L32" s="40"/>
      <c r="M32" s="45"/>
      <c r="N32" s="45"/>
      <c r="O32" s="46"/>
      <c r="P32" s="46"/>
      <c r="Q32" s="41"/>
      <c r="R32" s="41"/>
      <c r="S32" s="41"/>
      <c r="T32" s="41"/>
      <c r="U32" s="41"/>
      <c r="V32" s="41"/>
      <c r="W32" s="41"/>
      <c r="X32" s="41"/>
    </row>
    <row r="33" spans="1:24" ht="12.75" customHeight="1" x14ac:dyDescent="0.25">
      <c r="A33" s="196"/>
      <c r="B33" s="45"/>
      <c r="C33" s="45"/>
      <c r="D33" s="45"/>
      <c r="E33" s="45"/>
      <c r="F33" s="45"/>
      <c r="G33" s="45"/>
      <c r="H33" s="204" t="s">
        <v>21</v>
      </c>
      <c r="I33" s="204"/>
      <c r="J33" s="225" t="str">
        <f>P8 &amp; " TRAYS"</f>
        <v>2 TRAYS</v>
      </c>
      <c r="K33" s="225"/>
      <c r="L33" s="42"/>
      <c r="M33" s="41"/>
      <c r="N33" s="41"/>
      <c r="O33" s="41"/>
      <c r="P33" s="41"/>
      <c r="Q33" s="41"/>
      <c r="R33" s="41"/>
      <c r="S33" s="41"/>
      <c r="T33" s="41"/>
      <c r="U33" s="41"/>
      <c r="V33" s="41"/>
      <c r="W33" s="41"/>
      <c r="X33" s="41"/>
    </row>
    <row r="34" spans="1:24" ht="12.75" customHeight="1" x14ac:dyDescent="0.25">
      <c r="A34" s="196"/>
      <c r="B34" s="45"/>
      <c r="C34" s="45"/>
      <c r="D34" s="45"/>
      <c r="E34" s="45"/>
      <c r="F34" s="45"/>
      <c r="G34" s="45"/>
      <c r="H34" s="226" t="s">
        <v>23</v>
      </c>
      <c r="I34" s="226"/>
      <c r="J34" s="227" t="str">
        <f>P9 &amp; " TRAYS"</f>
        <v>4 TRAYS</v>
      </c>
      <c r="K34" s="227"/>
      <c r="L34" s="42"/>
      <c r="M34" s="41"/>
      <c r="N34" s="41"/>
      <c r="O34" s="41"/>
      <c r="P34" s="41"/>
      <c r="Q34" s="41"/>
      <c r="R34" s="41"/>
      <c r="S34" s="41"/>
      <c r="T34" s="41"/>
      <c r="U34" s="41"/>
      <c r="V34" s="41"/>
      <c r="W34" s="41"/>
      <c r="X34" s="41"/>
    </row>
    <row r="35" spans="1:24" ht="12.75" customHeight="1" x14ac:dyDescent="0.25">
      <c r="A35" s="196"/>
      <c r="B35" s="45"/>
      <c r="C35" s="45"/>
      <c r="D35" s="45"/>
      <c r="E35" s="45"/>
      <c r="F35" s="45"/>
      <c r="G35" s="45"/>
      <c r="H35" s="228" t="s">
        <v>16</v>
      </c>
      <c r="I35" s="229"/>
      <c r="J35" s="180" t="str">
        <f>ROUNDUP(P10,0) &amp; " RED CUPS"</f>
        <v>0 RED CUPS</v>
      </c>
      <c r="K35" s="180"/>
      <c r="L35" s="42"/>
      <c r="M35" s="41"/>
      <c r="N35" s="41"/>
      <c r="O35" s="41"/>
      <c r="P35" s="41"/>
      <c r="Q35" s="41"/>
      <c r="R35" s="41"/>
      <c r="S35" s="41"/>
      <c r="T35" s="41"/>
      <c r="U35" s="41"/>
      <c r="V35" s="41"/>
      <c r="W35" s="41"/>
      <c r="X35" s="41"/>
    </row>
    <row r="36" spans="1:24" ht="12.75" customHeight="1" x14ac:dyDescent="0.25">
      <c r="A36" s="196"/>
      <c r="B36" s="20"/>
      <c r="C36" s="219"/>
      <c r="D36" s="219"/>
      <c r="E36" s="220"/>
      <c r="F36" s="220"/>
      <c r="G36" s="51"/>
      <c r="H36" s="204" t="s">
        <v>27</v>
      </c>
      <c r="I36" s="221"/>
      <c r="J36" s="222" t="str">
        <f>_xlfn.LET(_xlpm.NumberOfBoxes,O11,
     _xlpm.NumberOfTubsPerBox,1.5,
     _xlpm.RoundTo,0.5,
MROUND(_xlpm.NumberOfBoxes*_xlpm.NumberOfTubsPerBox,_xlpm.RoundTo)&amp;" TUBS")</f>
        <v>2 TUBS</v>
      </c>
      <c r="K36" s="222"/>
      <c r="L36" s="43"/>
      <c r="M36" s="41"/>
      <c r="N36" s="41"/>
      <c r="O36" s="41"/>
      <c r="P36" s="41"/>
      <c r="Q36" s="41"/>
      <c r="R36" s="41"/>
      <c r="S36" s="41"/>
      <c r="T36" s="41"/>
      <c r="U36" s="41"/>
      <c r="V36" s="41"/>
      <c r="W36" s="41"/>
      <c r="X36" s="41"/>
    </row>
    <row r="37" spans="1:24" ht="12.75" customHeight="1" x14ac:dyDescent="0.25">
      <c r="O37" s="34"/>
      <c r="P37" s="34"/>
    </row>
    <row r="38" spans="1:24" ht="12.75" customHeight="1" x14ac:dyDescent="0.25">
      <c r="C38" s="223" t="s">
        <v>32</v>
      </c>
      <c r="D38" s="223"/>
      <c r="E38" s="223"/>
      <c r="F38" s="223"/>
      <c r="G38" s="223"/>
      <c r="H38" s="223"/>
      <c r="I38" s="223"/>
      <c r="J38" s="223"/>
      <c r="K38" s="223"/>
      <c r="L38" s="223"/>
      <c r="M38" s="223"/>
      <c r="N38" s="223"/>
      <c r="O38" s="223"/>
      <c r="P38" s="223"/>
    </row>
    <row r="39" spans="1:24" ht="12.75" customHeight="1" x14ac:dyDescent="0.25">
      <c r="C39" s="223"/>
      <c r="D39" s="223"/>
      <c r="E39" s="223"/>
      <c r="F39" s="223"/>
      <c r="G39" s="223"/>
      <c r="H39" s="223"/>
      <c r="I39" s="223"/>
      <c r="J39" s="223"/>
      <c r="K39" s="223"/>
      <c r="L39" s="223"/>
      <c r="M39" s="223"/>
      <c r="N39" s="223"/>
      <c r="O39" s="223"/>
      <c r="P39" s="223"/>
    </row>
    <row r="40" spans="1:24" ht="12.75" hidden="1" customHeight="1" x14ac:dyDescent="0.25">
      <c r="A40" s="13"/>
      <c r="B40" s="52" t="s">
        <v>5</v>
      </c>
      <c r="C40" s="224" t="s">
        <v>6</v>
      </c>
      <c r="D40" s="187"/>
      <c r="E40" s="224" t="s">
        <v>7</v>
      </c>
      <c r="F40" s="187"/>
      <c r="G40" s="224" t="s">
        <v>8</v>
      </c>
      <c r="H40" s="187"/>
      <c r="I40" s="224" t="s">
        <v>9</v>
      </c>
      <c r="J40" s="187"/>
      <c r="K40" s="224" t="s">
        <v>10</v>
      </c>
      <c r="L40" s="187"/>
      <c r="M40" s="224" t="s">
        <v>11</v>
      </c>
      <c r="N40" s="187"/>
      <c r="O40" s="224" t="s">
        <v>12</v>
      </c>
      <c r="P40" s="187"/>
      <c r="R40" s="15" t="s">
        <v>13</v>
      </c>
    </row>
    <row r="41" spans="1:24" ht="12.75" hidden="1" customHeight="1" x14ac:dyDescent="0.25">
      <c r="A41" s="13"/>
      <c r="B41" s="53" t="s">
        <v>33</v>
      </c>
      <c r="C41" s="218">
        <f t="array" ref="C41">INDEX('AC and RGM only'!$N$1:$T$150, MATCH(TRUE, ISNUMBER(SEARCH($B$41, 'AC and RGM only'!$L$1:$L$150)), 0), MATCH(TRUE, ISNUMBER(SEARCH(C$40, 'AC and RGM only'!$D$2:$J$2)), 0))</f>
        <v>0.48</v>
      </c>
      <c r="D41" s="218"/>
      <c r="E41" s="218">
        <f t="array" ref="E41">INDEX('AC and RGM only'!$N$1:$T$150, MATCH(TRUE, ISNUMBER(SEARCH($B$41, 'AC and RGM only'!$L$1:$L$150)), 0), MATCH(TRUE, ISNUMBER(SEARCH(E$40, 'AC and RGM only'!$D$2:$J$2)), 0))</f>
        <v>0.72</v>
      </c>
      <c r="F41" s="218"/>
      <c r="G41" s="218">
        <f t="array" ref="G41">INDEX('AC and RGM only'!$N$1:$T$150, MATCH(TRUE, ISNUMBER(SEARCH($B$41, 'AC and RGM only'!$L$1:$L$150)), 0), MATCH(TRUE, ISNUMBER(SEARCH(G$40, 'AC and RGM only'!$D$2:$J$2)), 0))</f>
        <v>0.62</v>
      </c>
      <c r="H41" s="218"/>
      <c r="I41" s="218">
        <f t="array" ref="I41">INDEX('AC and RGM only'!$N$1:$T$150, MATCH(TRUE, ISNUMBER(SEARCH($B$41, 'AC and RGM only'!$L$1:$L$150)), 0), MATCH(TRUE, ISNUMBER(SEARCH(I$40, 'AC and RGM only'!$D$2:$J$2)), 0))</f>
        <v>0.91</v>
      </c>
      <c r="J41" s="218"/>
      <c r="K41" s="218">
        <f t="array" ref="K41">INDEX('AC and RGM only'!$N$1:$T$150, MATCH(TRUE, ISNUMBER(SEARCH($B$41, 'AC and RGM only'!$L$1:$L$150)), 0), MATCH(TRUE, ISNUMBER(SEARCH(K$40, 'AC and RGM only'!$D$2:$J$2)), 0))</f>
        <v>1.42</v>
      </c>
      <c r="L41" s="218"/>
      <c r="M41" s="218">
        <f t="array" ref="M41">INDEX('AC and RGM only'!$N$1:$T$150, MATCH(TRUE, ISNUMBER(SEARCH($B$41, 'AC and RGM only'!$L$1:$L$150)), 0), MATCH(TRUE, ISNUMBER(SEARCH(M$40, 'AC and RGM only'!$D$2:$J$2)), 0))</f>
        <v>1.18</v>
      </c>
      <c r="N41" s="218"/>
      <c r="O41" s="218">
        <f t="array" ref="O41">INDEX('AC and RGM only'!$N$1:$T$150, MATCH(TRUE, ISNUMBER(SEARCH($B$41, 'AC and RGM only'!$L$1:$L$150)), 0), MATCH(TRUE, ISNUMBER(SEARCH(O$40, 'AC and RGM only'!$D$2:$J$2)), 0))</f>
        <v>1.19</v>
      </c>
      <c r="P41" s="218"/>
      <c r="R41" s="17">
        <f t="shared" ref="R41:R44" si="0">AVERAGE(C41:O41)</f>
        <v>0.93142857142857138</v>
      </c>
    </row>
    <row r="42" spans="1:24" ht="12.75" hidden="1" customHeight="1" x14ac:dyDescent="0.25">
      <c r="A42" s="13"/>
      <c r="B42" s="53" t="s">
        <v>34</v>
      </c>
      <c r="C42" s="218">
        <f t="array" ref="C42">INDEX('AC and RGM only'!$N$1:$T$150, MATCH(TRUE, ISNUMBER(SEARCH($B$42, 'AC and RGM only'!$L$1:$L$150)), 0), MATCH(TRUE, ISNUMBER(SEARCH(C$40, 'AC and RGM only'!$D$2:$J$2)), 0))</f>
        <v>0.18</v>
      </c>
      <c r="D42" s="218"/>
      <c r="E42" s="218">
        <f t="array" ref="E42">INDEX('AC and RGM only'!$N$1:$T$150, MATCH(TRUE, ISNUMBER(SEARCH($B$42, 'AC and RGM only'!$L$1:$L$150)), 0), MATCH(TRUE, ISNUMBER(SEARCH(E$40, 'AC and RGM only'!$D$2:$J$2)), 0))</f>
        <v>0.23</v>
      </c>
      <c r="F42" s="218"/>
      <c r="G42" s="218">
        <f t="array" ref="G42">INDEX('AC and RGM only'!$N$1:$T$150, MATCH(TRUE, ISNUMBER(SEARCH($B$42, 'AC and RGM only'!$L$1:$L$150)), 0), MATCH(TRUE, ISNUMBER(SEARCH(G$40, 'AC and RGM only'!$D$2:$J$2)), 0))</f>
        <v>0.21</v>
      </c>
      <c r="H42" s="218"/>
      <c r="I42" s="218">
        <f t="array" ref="I42">INDEX('AC and RGM only'!$N$1:$T$150, MATCH(TRUE, ISNUMBER(SEARCH($B$42, 'AC and RGM only'!$L$1:$L$150)), 0), MATCH(TRUE, ISNUMBER(SEARCH(I$40, 'AC and RGM only'!$D$2:$J$2)), 0))</f>
        <v>0.27</v>
      </c>
      <c r="J42" s="218"/>
      <c r="K42" s="218">
        <f t="array" ref="K42">INDEX('AC and RGM only'!$N$1:$T$150, MATCH(TRUE, ISNUMBER(SEARCH($B$42, 'AC and RGM only'!$L$1:$L$150)), 0), MATCH(TRUE, ISNUMBER(SEARCH(K$40, 'AC and RGM only'!$D$2:$J$2)), 0))</f>
        <v>0.41</v>
      </c>
      <c r="L42" s="218"/>
      <c r="M42" s="218">
        <f t="array" ref="M42">INDEX('AC and RGM only'!$N$1:$T$150, MATCH(TRUE, ISNUMBER(SEARCH($B$42, 'AC and RGM only'!$L$1:$L$150)), 0), MATCH(TRUE, ISNUMBER(SEARCH(M$40, 'AC and RGM only'!$D$2:$J$2)), 0))</f>
        <v>0.33</v>
      </c>
      <c r="N42" s="218"/>
      <c r="O42" s="218">
        <f t="array" ref="O42">INDEX('AC and RGM only'!$N$1:$T$150, MATCH(TRUE, ISNUMBER(SEARCH($B$42, 'AC and RGM only'!$L$1:$L$150)), 0), MATCH(TRUE, ISNUMBER(SEARCH(O$40, 'AC and RGM only'!$D$2:$J$2)), 0))</f>
        <v>0.39</v>
      </c>
      <c r="P42" s="218"/>
      <c r="R42" s="17">
        <f t="shared" si="0"/>
        <v>0.28857142857142859</v>
      </c>
    </row>
    <row r="43" spans="1:24" ht="12.75" hidden="1" customHeight="1" x14ac:dyDescent="0.25">
      <c r="A43" s="13"/>
      <c r="B43" s="53" t="s">
        <v>35</v>
      </c>
      <c r="C43" s="218">
        <f t="array" ref="C43">INDEX('AC and RGM only'!$N$1:$T$150, MATCH(TRUE, ISNUMBER(SEARCH($B$43, 'AC and RGM only'!$L$1:$L$150)), 0), MATCH(TRUE, ISNUMBER(SEARCH(C$40, 'AC and RGM only'!$D$2:$J$2)), 0))</f>
        <v>0.11</v>
      </c>
      <c r="D43" s="218"/>
      <c r="E43" s="218">
        <f t="array" ref="E43">INDEX('AC and RGM only'!$N$1:$T$150, MATCH(TRUE, ISNUMBER(SEARCH($B$43, 'AC and RGM only'!$L$1:$L$150)), 0), MATCH(TRUE, ISNUMBER(SEARCH(E$40, 'AC and RGM only'!$D$2:$J$2)), 0))</f>
        <v>0.11</v>
      </c>
      <c r="F43" s="218"/>
      <c r="G43" s="218">
        <f t="array" ref="G43">INDEX('AC and RGM only'!$N$1:$T$150, MATCH(TRUE, ISNUMBER(SEARCH($B$43, 'AC and RGM only'!$L$1:$L$150)), 0), MATCH(TRUE, ISNUMBER(SEARCH(G$40, 'AC and RGM only'!$D$2:$J$2)), 0))</f>
        <v>0.11</v>
      </c>
      <c r="H43" s="218"/>
      <c r="I43" s="218">
        <f t="array" ref="I43">INDEX('AC and RGM only'!$N$1:$T$150, MATCH(TRUE, ISNUMBER(SEARCH($B$43, 'AC and RGM only'!$L$1:$L$150)), 0), MATCH(TRUE, ISNUMBER(SEARCH(I$40, 'AC and RGM only'!$D$2:$J$2)), 0))</f>
        <v>0.15</v>
      </c>
      <c r="J43" s="218"/>
      <c r="K43" s="218">
        <f t="array" ref="K43">INDEX('AC and RGM only'!$N$1:$T$150, MATCH(TRUE, ISNUMBER(SEARCH($B$43, 'AC and RGM only'!$L$1:$L$150)), 0), MATCH(TRUE, ISNUMBER(SEARCH(K$40, 'AC and RGM only'!$D$2:$J$2)), 0))</f>
        <v>0.22</v>
      </c>
      <c r="L43" s="218"/>
      <c r="M43" s="218">
        <f t="array" ref="M43">INDEX('AC and RGM only'!$N$1:$T$150, MATCH(TRUE, ISNUMBER(SEARCH($B$43, 'AC and RGM only'!$L$1:$L$150)), 0), MATCH(TRUE, ISNUMBER(SEARCH(M$40, 'AC and RGM only'!$D$2:$J$2)), 0))</f>
        <v>0.21</v>
      </c>
      <c r="N43" s="218"/>
      <c r="O43" s="218">
        <f t="array" ref="O43">INDEX('AC and RGM only'!$N$1:$T$150, MATCH(TRUE, ISNUMBER(SEARCH($B$43, 'AC and RGM only'!$L$1:$L$150)), 0), MATCH(TRUE, ISNUMBER(SEARCH(O$40, 'AC and RGM only'!$D$2:$J$2)), 0))</f>
        <v>0.18</v>
      </c>
      <c r="P43" s="218"/>
      <c r="R43" s="17">
        <f t="shared" si="0"/>
        <v>0.15571428571428569</v>
      </c>
    </row>
    <row r="44" spans="1:24" ht="12.75" hidden="1" customHeight="1" x14ac:dyDescent="0.25">
      <c r="A44" s="13"/>
      <c r="B44" s="53" t="s">
        <v>36</v>
      </c>
      <c r="C44" s="218">
        <f t="array" ref="C44">INDEX('AC and RGM only'!$N$1:$T$150, MATCH(TRUE, ISNUMBER(SEARCH($B$44, 'AC and RGM only'!$L$1:$L$150)), 0), MATCH(TRUE, ISNUMBER(SEARCH(C$40, 'AC and RGM only'!$D$2:$J$2)), 0))</f>
        <v>7.0000000000000007E-2</v>
      </c>
      <c r="D44" s="218"/>
      <c r="E44" s="218">
        <f t="array" ref="E44">INDEX('AC and RGM only'!$N$1:$T$150, MATCH(TRUE, ISNUMBER(SEARCH($B$44, 'AC and RGM only'!$L$1:$L$150)), 0), MATCH(TRUE, ISNUMBER(SEARCH(E$40, 'AC and RGM only'!$D$2:$J$2)), 0))</f>
        <v>0.06</v>
      </c>
      <c r="F44" s="218"/>
      <c r="G44" s="218">
        <f t="array" ref="G44">INDEX('AC and RGM only'!$N$1:$T$150, MATCH(TRUE, ISNUMBER(SEARCH($B$44, 'AC and RGM only'!$L$1:$L$150)), 0), MATCH(TRUE, ISNUMBER(SEARCH(G$40, 'AC and RGM only'!$D$2:$J$2)), 0))</f>
        <v>0.06</v>
      </c>
      <c r="H44" s="218"/>
      <c r="I44" s="218">
        <f t="array" ref="I44">INDEX('AC and RGM only'!$N$1:$T$150, MATCH(TRUE, ISNUMBER(SEARCH($B$44, 'AC and RGM only'!$L$1:$L$150)), 0), MATCH(TRUE, ISNUMBER(SEARCH(I$40, 'AC and RGM only'!$D$2:$J$2)), 0))</f>
        <v>0.04</v>
      </c>
      <c r="J44" s="218"/>
      <c r="K44" s="218">
        <f t="array" ref="K44">INDEX('AC and RGM only'!$N$1:$T$150, MATCH(TRUE, ISNUMBER(SEARCH($B$44, 'AC and RGM only'!$L$1:$L$150)), 0), MATCH(TRUE, ISNUMBER(SEARCH(K$40, 'AC and RGM only'!$D$2:$J$2)), 0))</f>
        <v>0.12</v>
      </c>
      <c r="L44" s="218"/>
      <c r="M44" s="218">
        <f t="array" ref="M44">INDEX('AC and RGM only'!$N$1:$T$150, MATCH(TRUE, ISNUMBER(SEARCH($B$44, 'AC and RGM only'!$L$1:$L$150)), 0), MATCH(TRUE, ISNUMBER(SEARCH(M$40, 'AC and RGM only'!$D$2:$J$2)), 0))</f>
        <v>7.0000000000000007E-2</v>
      </c>
      <c r="N44" s="218"/>
      <c r="O44" s="218">
        <f t="array" ref="O44">INDEX('AC and RGM only'!$N$1:$T$150, MATCH(TRUE, ISNUMBER(SEARCH($B$44, 'AC and RGM only'!$L$1:$L$150)), 0), MATCH(TRUE, ISNUMBER(SEARCH(O$40, 'AC and RGM only'!$D$2:$J$2)), 0))</f>
        <v>0.11</v>
      </c>
      <c r="P44" s="218"/>
      <c r="R44" s="17">
        <f t="shared" si="0"/>
        <v>7.571428571428572E-2</v>
      </c>
    </row>
    <row r="45" spans="1:24" ht="12.75" hidden="1" customHeight="1" x14ac:dyDescent="0.25">
      <c r="A45" s="13"/>
      <c r="B45" s="53" t="s">
        <v>37</v>
      </c>
      <c r="C45" s="218">
        <f t="array" ref="C45">INDEX('AC and RGM only'!$N$1:$T$150, MATCH(TRUE, ISNUMBER(SEARCH($B$45, 'AC and RGM only'!$L$1:$L$150)), 0), MATCH(TRUE, ISNUMBER(SEARCH(C$40, 'AC and RGM only'!$D$2:$J$2)), 0))</f>
        <v>7.0000000000000007E-2</v>
      </c>
      <c r="D45" s="218"/>
      <c r="E45" s="218">
        <f t="array" ref="E45">INDEX('AC and RGM only'!$N$1:$T$150, MATCH(TRUE, ISNUMBER(SEARCH($B$45, 'AC and RGM only'!$L$1:$L$150)), 0), MATCH(TRUE, ISNUMBER(SEARCH(E$40, 'AC and RGM only'!$D$2:$J$2)), 0))</f>
        <v>0.06</v>
      </c>
      <c r="F45" s="218"/>
      <c r="G45" s="218">
        <f t="array" ref="G45">INDEX('AC and RGM only'!$N$1:$T$150, MATCH(TRUE, ISNUMBER(SEARCH($B$45, 'AC and RGM only'!$L$1:$L$150)), 0), MATCH(TRUE, ISNUMBER(SEARCH(G$40, 'AC and RGM only'!$D$2:$J$2)), 0))</f>
        <v>0.06</v>
      </c>
      <c r="H45" s="218"/>
      <c r="I45" s="218">
        <f t="array" ref="I45">INDEX('AC and RGM only'!$N$1:$T$150, MATCH(TRUE, ISNUMBER(SEARCH($B$45, 'AC and RGM only'!$L$1:$L$150)), 0), MATCH(TRUE, ISNUMBER(SEARCH(I$40, 'AC and RGM only'!$D$2:$J$2)), 0))</f>
        <v>7.0000000000000007E-2</v>
      </c>
      <c r="J45" s="218"/>
      <c r="K45" s="218">
        <f t="array" ref="K45">INDEX('AC and RGM only'!$N$1:$T$150, MATCH(TRUE, ISNUMBER(SEARCH($B$45, 'AC and RGM only'!$L$1:$L$150)), 0), MATCH(TRUE, ISNUMBER(SEARCH(K$40, 'AC and RGM only'!$D$2:$J$2)), 0))</f>
        <v>0.12</v>
      </c>
      <c r="L45" s="218"/>
      <c r="M45" s="218">
        <f t="array" ref="M45">INDEX('AC and RGM only'!$N$1:$T$150, MATCH(TRUE, ISNUMBER(SEARCH($B$45, 'AC and RGM only'!$L$1:$L$150)), 0), MATCH(TRUE, ISNUMBER(SEARCH(M$40, 'AC and RGM only'!$D$2:$J$2)), 0))</f>
        <v>7.0000000000000007E-2</v>
      </c>
      <c r="N45" s="218"/>
      <c r="O45" s="218">
        <f t="array" ref="O45">INDEX('AC and RGM only'!$N$1:$T$150, MATCH(TRUE, ISNUMBER(SEARCH($B$45, 'AC and RGM only'!$L$1:$L$150)), 0), MATCH(TRUE, ISNUMBER(SEARCH(O$40, 'AC and RGM only'!$D$2:$J$2)), 0))</f>
        <v>0.1</v>
      </c>
      <c r="P45" s="218"/>
      <c r="R45" s="17">
        <f>AVERAGE(C45:O45)</f>
        <v>7.8571428571428584E-2</v>
      </c>
    </row>
    <row r="46" spans="1:24" ht="12.75" hidden="1" customHeight="1" x14ac:dyDescent="0.25">
      <c r="A46" s="13"/>
      <c r="B46" s="53" t="s">
        <v>38</v>
      </c>
      <c r="C46" s="218">
        <f t="array" ref="C46">INDEX('AC and RGM only'!$N$1:$T$150, MATCH(TRUE, ISNUMBER(SEARCH($B$46, 'AC and RGM only'!$L$1:$L$150)), 0), MATCH(TRUE, ISNUMBER(SEARCH(C$40, 'AC and RGM only'!$D$2:$J$2)), 0))</f>
        <v>0.1</v>
      </c>
      <c r="D46" s="218"/>
      <c r="E46" s="218">
        <f t="array" ref="E46">INDEX('AC and RGM only'!$N$1:$T$150, MATCH(TRUE, ISNUMBER(SEARCH($B$46, 'AC and RGM only'!$L$1:$L$150)), 0), MATCH(TRUE, ISNUMBER(SEARCH(E$40, 'AC and RGM only'!$D$2:$J$2)), 0))</f>
        <v>0.14000000000000001</v>
      </c>
      <c r="F46" s="218"/>
      <c r="G46" s="218">
        <f t="array" ref="G46">INDEX('AC and RGM only'!$N$1:$T$150, MATCH(TRUE, ISNUMBER(SEARCH($B$46, 'AC and RGM only'!$L$1:$L$150)), 0), MATCH(TRUE, ISNUMBER(SEARCH(G$40, 'AC and RGM only'!$D$2:$J$2)), 0))</f>
        <v>0.16</v>
      </c>
      <c r="H46" s="218"/>
      <c r="I46" s="218">
        <f t="array" ref="I46">INDEX('AC and RGM only'!$N$1:$T$150, MATCH(TRUE, ISNUMBER(SEARCH($B$46, 'AC and RGM only'!$L$1:$L$150)), 0), MATCH(TRUE, ISNUMBER(SEARCH(I$40, 'AC and RGM only'!$D$2:$J$2)), 0))</f>
        <v>0.22</v>
      </c>
      <c r="J46" s="218"/>
      <c r="K46" s="218">
        <f t="array" ref="K46">INDEX('AC and RGM only'!$N$1:$T$150, MATCH(TRUE, ISNUMBER(SEARCH($B$46, 'AC and RGM only'!$L$1:$L$150)), 0), MATCH(TRUE, ISNUMBER(SEARCH(K$40, 'AC and RGM only'!$D$2:$J$2)), 0))</f>
        <v>0.27</v>
      </c>
      <c r="L46" s="218"/>
      <c r="M46" s="218">
        <f t="array" ref="M46">INDEX('AC and RGM only'!$N$1:$T$150, MATCH(TRUE, ISNUMBER(SEARCH($B$46, 'AC and RGM only'!$L$1:$L$150)), 0), MATCH(TRUE, ISNUMBER(SEARCH(M$40, 'AC and RGM only'!$D$2:$J$2)), 0))</f>
        <v>0.24</v>
      </c>
      <c r="N46" s="218"/>
      <c r="O46" s="218">
        <f t="array" ref="O46">INDEX('AC and RGM only'!$N$1:$T$150, MATCH(TRUE, ISNUMBER(SEARCH($B$46, 'AC and RGM only'!$L$1:$L$150)), 0), MATCH(TRUE, ISNUMBER(SEARCH(O$40, 'AC and RGM only'!$D$2:$J$2)), 0))</f>
        <v>0.22</v>
      </c>
      <c r="P46" s="218"/>
      <c r="R46" s="17">
        <f>AVERAGE(C46:O46)</f>
        <v>0.19285714285714284</v>
      </c>
    </row>
    <row r="47" spans="1:24" ht="12.75" hidden="1" customHeight="1" x14ac:dyDescent="0.25">
      <c r="A47" s="13"/>
      <c r="B47" s="53" t="s">
        <v>39</v>
      </c>
      <c r="C47" s="218">
        <f t="array" ref="C47">INDEX('AC and RGM only'!$N3:$T152, MATCH(TRUE, ISNUMBER(SEARCH($B$47, 'AC and RGM only'!$L3:$L152)), 0), MATCH(TRUE, ISNUMBER(SEARCH(C$40, 'AC and RGM only'!$D$2:$J$2)), 0))</f>
        <v>0.03</v>
      </c>
      <c r="D47" s="218"/>
      <c r="E47" s="218">
        <f t="array" ref="E47">INDEX('AC and RGM only'!$N3:$T152, MATCH(TRUE, ISNUMBER(SEARCH($B$47, 'AC and RGM only'!$L3:$L152)), 0), MATCH(TRUE, ISNUMBER(SEARCH(E$40, 'AC and RGM only'!$D$2:$J$2)), 0))</f>
        <v>0.04</v>
      </c>
      <c r="F47" s="218"/>
      <c r="G47" s="218">
        <f t="array" ref="G47">INDEX('AC and RGM only'!$N3:$T152, MATCH(TRUE, ISNUMBER(SEARCH($B$47, 'AC and RGM only'!$L3:$L152)), 0), MATCH(TRUE, ISNUMBER(SEARCH(G$40, 'AC and RGM only'!$D$2:$J$2)), 0))</f>
        <v>0.05</v>
      </c>
      <c r="H47" s="218"/>
      <c r="I47" s="218">
        <f t="array" ref="I47">INDEX('AC and RGM only'!$N3:$T152, MATCH(TRUE, ISNUMBER(SEARCH($B$47, 'AC and RGM only'!$L3:$L152)), 0), MATCH(TRUE, ISNUMBER(SEARCH(I$40, 'AC and RGM only'!$D$2:$J$2)), 0))</f>
        <v>0.08</v>
      </c>
      <c r="J47" s="218"/>
      <c r="K47" s="218">
        <f t="array" ref="K47">INDEX('AC and RGM only'!$N3:$T152, MATCH(TRUE, ISNUMBER(SEARCH($B$47, 'AC and RGM only'!$L3:$L152)), 0), MATCH(TRUE, ISNUMBER(SEARCH(K$40, 'AC and RGM only'!$D$2:$J$2)), 0))</f>
        <v>0.1</v>
      </c>
      <c r="L47" s="218"/>
      <c r="M47" s="218">
        <f t="array" ref="M47">INDEX('AC and RGM only'!$N3:$T152, MATCH(TRUE, ISNUMBER(SEARCH($B$47, 'AC and RGM only'!$L3:$L152)), 0), MATCH(TRUE, ISNUMBER(SEARCH(M$40, 'AC and RGM only'!$D$2:$J$2)), 0))</f>
        <v>7.0000000000000007E-2</v>
      </c>
      <c r="N47" s="218"/>
      <c r="O47" s="218">
        <f t="array" ref="O47">INDEX('AC and RGM only'!$N3:$T152, MATCH(TRUE, ISNUMBER(SEARCH($B$47, 'AC and RGM only'!$L3:$L152)), 0), MATCH(TRUE, ISNUMBER(SEARCH(O$40, 'AC and RGM only'!$D$2:$J$2)), 0))</f>
        <v>0.06</v>
      </c>
      <c r="P47" s="218"/>
      <c r="R47" s="17">
        <f>AVERAGE(C47:O47)</f>
        <v>6.1428571428571437E-2</v>
      </c>
    </row>
    <row r="48" spans="1:24" ht="12.75" hidden="1" customHeight="1" x14ac:dyDescent="0.25">
      <c r="A48" s="13"/>
      <c r="B48" s="53" t="s">
        <v>40</v>
      </c>
      <c r="C48" s="218">
        <f t="array" ref="C48">INDEX('AC and RGM only'!$N4:$T153, MATCH(TRUE, ISNUMBER(SEARCH($B$48, 'AC and RGM only'!$L4:$L153)), 0), MATCH(TRUE, ISNUMBER(SEARCH(C$40, 'AC and RGM only'!$D$2:$J$2)), 0))</f>
        <v>0.94</v>
      </c>
      <c r="D48" s="218"/>
      <c r="E48" s="218">
        <f t="array" ref="E48">INDEX('AC and RGM only'!$N4:$T153, MATCH(TRUE, ISNUMBER(SEARCH($B$48, 'AC and RGM only'!$L4:$L153)), 0), MATCH(TRUE, ISNUMBER(SEARCH(E$40, 'AC and RGM only'!$D$2:$J$2)), 0))</f>
        <v>1.36</v>
      </c>
      <c r="F48" s="218"/>
      <c r="G48" s="218">
        <f t="array" ref="G48">INDEX('AC and RGM only'!$N4:$T153, MATCH(TRUE, ISNUMBER(SEARCH($B$48, 'AC and RGM only'!$L4:$L153)), 0), MATCH(TRUE, ISNUMBER(SEARCH(G$40, 'AC and RGM only'!$D$2:$J$2)), 0))</f>
        <v>1.02</v>
      </c>
      <c r="H48" s="218"/>
      <c r="I48" s="218">
        <f t="array" ref="I48">INDEX('AC and RGM only'!$N4:$T153, MATCH(TRUE, ISNUMBER(SEARCH($B$48, 'AC and RGM only'!$L4:$L153)), 0), MATCH(TRUE, ISNUMBER(SEARCH(I$40, 'AC and RGM only'!$D$2:$J$2)), 0))</f>
        <v>1.62</v>
      </c>
      <c r="J48" s="218"/>
      <c r="K48" s="218">
        <f t="array" ref="K48">INDEX('AC and RGM only'!$N4:$T153, MATCH(TRUE, ISNUMBER(SEARCH($B$48, 'AC and RGM only'!$L4:$L153)), 0), MATCH(TRUE, ISNUMBER(SEARCH(K$40, 'AC and RGM only'!$D$2:$J$2)), 0))</f>
        <v>2.75</v>
      </c>
      <c r="L48" s="218"/>
      <c r="M48" s="218">
        <f t="array" ref="M48">INDEX('AC and RGM only'!$N4:$T153, MATCH(TRUE, ISNUMBER(SEARCH($B$48, 'AC and RGM only'!$L4:$L153)), 0), MATCH(TRUE, ISNUMBER(SEARCH(M$40, 'AC and RGM only'!$D$2:$J$2)), 0))</f>
        <v>2.19</v>
      </c>
      <c r="N48" s="218"/>
      <c r="O48" s="218">
        <f t="array" ref="O48">INDEX('AC and RGM only'!$N4:$T153, MATCH(TRUE, ISNUMBER(SEARCH($B$48, 'AC and RGM only'!$L4:$L153)), 0), MATCH(TRUE, ISNUMBER(SEARCH(O$40, 'AC and RGM only'!$D$2:$J$2)), 0))</f>
        <v>2.75</v>
      </c>
      <c r="P48" s="218"/>
      <c r="R48" s="17">
        <f>AVERAGE(C48:O48)</f>
        <v>1.804285714285714</v>
      </c>
    </row>
    <row r="49" spans="1:18" ht="12.75" hidden="1" customHeight="1" x14ac:dyDescent="0.25">
      <c r="A49" s="13"/>
      <c r="B49" s="53" t="s">
        <v>41</v>
      </c>
      <c r="C49" s="218">
        <f t="array" ref="C49">INDEX('AC and RGM only'!$N5:$T154, MATCH(TRUE, ISNUMBER(SEARCH($B$49, 'AC and RGM only'!$L5:$L154)), 0), MATCH(TRUE, ISNUMBER(SEARCH(C$40, 'AC and RGM only'!$D$2:$J$2)), 0))</f>
        <v>1618.8</v>
      </c>
      <c r="D49" s="218"/>
      <c r="E49" s="218">
        <f t="array" ref="E49">INDEX('AC and RGM only'!$N5:$T154, MATCH(TRUE, ISNUMBER(SEARCH($B$49, 'AC and RGM only'!$L5:$L154)), 0), MATCH(TRUE, ISNUMBER(SEARCH(E$40, 'AC and RGM only'!$D$2:$J$2)), 0))</f>
        <v>1903.5</v>
      </c>
      <c r="F49" s="218"/>
      <c r="G49" s="218">
        <f t="array" ref="G49">INDEX('AC and RGM only'!$N5:$T154, MATCH(TRUE, ISNUMBER(SEARCH($B$49, 'AC and RGM only'!$L5:$L154)), 0), MATCH(TRUE, ISNUMBER(SEARCH(G$40, 'AC and RGM only'!$D$2:$J$2)), 0))</f>
        <v>1383</v>
      </c>
      <c r="H49" s="218"/>
      <c r="I49" s="218">
        <f t="array" ref="I49">INDEX('AC and RGM only'!$N5:$T154, MATCH(TRUE, ISNUMBER(SEARCH($B$49, 'AC and RGM only'!$L5:$L154)), 0), MATCH(TRUE, ISNUMBER(SEARCH(I$40, 'AC and RGM only'!$D$2:$J$2)), 0))</f>
        <v>3004.2</v>
      </c>
      <c r="J49" s="218"/>
      <c r="K49" s="218">
        <f t="array" ref="K49">INDEX('AC and RGM only'!$N5:$T154, MATCH(TRUE, ISNUMBER(SEARCH($B$49, 'AC and RGM only'!$L5:$L154)), 0), MATCH(TRUE, ISNUMBER(SEARCH(K$40, 'AC and RGM only'!$D$2:$J$2)), 0))</f>
        <v>3868.5</v>
      </c>
      <c r="L49" s="218"/>
      <c r="M49" s="218">
        <f t="array" ref="M49">INDEX('AC and RGM only'!$N5:$T154, MATCH(TRUE, ISNUMBER(SEARCH($B$49, 'AC and RGM only'!$L5:$L154)), 0), MATCH(TRUE, ISNUMBER(SEARCH(M$40, 'AC and RGM only'!$D$2:$J$2)), 0))</f>
        <v>3749.7</v>
      </c>
      <c r="N49" s="218"/>
      <c r="O49" s="218">
        <f t="array" ref="O49">INDEX('AC and RGM only'!$N5:$T154, MATCH(TRUE, ISNUMBER(SEARCH($B$49, 'AC and RGM only'!$L5:$L154)), 0), MATCH(TRUE, ISNUMBER(SEARCH(O$40, 'AC and RGM only'!$D$2:$J$2)), 0))</f>
        <v>4101.3</v>
      </c>
      <c r="P49" s="218"/>
      <c r="R49" s="17">
        <f>AVERAGE(C49:O49)/1850</f>
        <v>1.5157528957528958</v>
      </c>
    </row>
    <row r="50" spans="1:18" ht="12.75" hidden="1" customHeight="1" x14ac:dyDescent="0.25">
      <c r="A50" s="13"/>
      <c r="C50" s="19"/>
      <c r="D50" s="19"/>
      <c r="E50" s="19"/>
      <c r="F50" s="19"/>
      <c r="G50" s="19"/>
      <c r="H50" s="19"/>
      <c r="I50" s="19"/>
      <c r="J50" s="19"/>
      <c r="K50" s="19"/>
      <c r="L50" s="19"/>
      <c r="M50" s="19"/>
      <c r="N50" s="19"/>
      <c r="O50" s="19"/>
      <c r="P50" s="19"/>
      <c r="R50" s="19"/>
    </row>
    <row r="51" spans="1:18" ht="12.75" customHeight="1" x14ac:dyDescent="0.25">
      <c r="A51" s="13"/>
      <c r="C51" s="19"/>
      <c r="D51" s="19"/>
      <c r="E51" s="19"/>
      <c r="F51" s="19"/>
      <c r="G51" s="19"/>
      <c r="H51" s="19"/>
      <c r="I51" s="19"/>
      <c r="J51" s="19"/>
      <c r="K51" s="19"/>
      <c r="L51" s="19"/>
      <c r="M51" s="19"/>
      <c r="N51" s="19"/>
      <c r="O51" s="19"/>
      <c r="P51" s="19"/>
      <c r="R51" s="19"/>
    </row>
    <row r="52" spans="1:18" ht="12.75" customHeight="1" x14ac:dyDescent="0.25">
      <c r="A52" s="13"/>
      <c r="C52" s="19"/>
      <c r="D52" s="19"/>
      <c r="E52" s="19"/>
      <c r="F52" s="19"/>
      <c r="G52" s="19"/>
      <c r="H52" s="19"/>
      <c r="I52" s="19"/>
      <c r="J52" s="19"/>
      <c r="K52" s="19"/>
      <c r="L52" s="19"/>
      <c r="M52" s="19"/>
      <c r="N52" s="19"/>
      <c r="O52" s="19"/>
      <c r="P52" s="19"/>
      <c r="R52" s="19"/>
    </row>
    <row r="53" spans="1:18" ht="12.75" customHeight="1" x14ac:dyDescent="0.25">
      <c r="A53" s="13"/>
      <c r="C53" s="19"/>
      <c r="D53" s="19"/>
      <c r="E53" s="19"/>
      <c r="F53" s="19"/>
      <c r="G53" s="19"/>
      <c r="H53" s="19"/>
      <c r="I53" s="19"/>
      <c r="J53" s="19"/>
      <c r="K53" s="19"/>
      <c r="L53" s="19"/>
      <c r="M53" s="19"/>
      <c r="N53" s="19"/>
      <c r="O53" s="19"/>
      <c r="P53" s="19"/>
      <c r="R53" s="19"/>
    </row>
    <row r="54" spans="1:18" ht="12.75" customHeight="1" x14ac:dyDescent="0.25">
      <c r="A54" s="13"/>
      <c r="C54" s="19"/>
      <c r="D54" s="19"/>
      <c r="E54" s="19"/>
      <c r="F54" s="19"/>
      <c r="G54" s="19"/>
      <c r="H54" s="19"/>
      <c r="I54" s="19"/>
      <c r="J54" s="19"/>
      <c r="K54" s="19"/>
      <c r="L54" s="19"/>
      <c r="M54" s="19"/>
      <c r="N54" s="19"/>
      <c r="O54" s="19"/>
      <c r="P54" s="19"/>
      <c r="R54" s="19"/>
    </row>
    <row r="55" spans="1:18" ht="12.75" customHeight="1" x14ac:dyDescent="0.25">
      <c r="A55" s="13"/>
      <c r="C55" s="19"/>
      <c r="D55" s="19"/>
      <c r="E55" s="19"/>
      <c r="F55" s="19"/>
      <c r="G55" s="19"/>
      <c r="H55" s="19"/>
      <c r="I55" s="19"/>
      <c r="J55" s="19"/>
      <c r="K55" s="19"/>
      <c r="L55" s="19"/>
      <c r="M55" s="19"/>
      <c r="N55" s="19"/>
      <c r="O55" s="19"/>
      <c r="P55" s="19"/>
      <c r="R55" s="19"/>
    </row>
    <row r="56" spans="1:18" ht="12.75" customHeight="1" x14ac:dyDescent="0.25">
      <c r="A56" s="13"/>
      <c r="C56" s="19"/>
      <c r="D56" s="19"/>
      <c r="E56" s="19"/>
      <c r="F56" s="19"/>
      <c r="G56" s="19"/>
      <c r="H56" s="19"/>
      <c r="I56" s="19"/>
      <c r="J56" s="19"/>
      <c r="K56" s="19"/>
      <c r="L56" s="19"/>
      <c r="M56" s="19"/>
      <c r="N56" s="19"/>
      <c r="O56" s="19"/>
      <c r="P56" s="19"/>
      <c r="R56" s="19"/>
    </row>
    <row r="57" spans="1:18" ht="12.75" customHeight="1" x14ac:dyDescent="0.25">
      <c r="A57" s="13"/>
      <c r="C57" s="19"/>
      <c r="D57" s="19"/>
      <c r="E57" s="19"/>
      <c r="F57" s="19"/>
      <c r="G57" s="19"/>
      <c r="H57" s="19"/>
      <c r="I57" s="19"/>
      <c r="J57" s="19"/>
      <c r="K57" s="19"/>
      <c r="L57" s="19"/>
      <c r="M57" s="19"/>
      <c r="N57" s="19"/>
      <c r="O57" s="19"/>
      <c r="P57" s="19"/>
      <c r="R57" s="19"/>
    </row>
    <row r="58" spans="1:18" ht="12.75" customHeight="1" x14ac:dyDescent="0.25">
      <c r="A58" s="13"/>
      <c r="C58" s="19"/>
      <c r="D58" s="19"/>
      <c r="E58" s="19"/>
      <c r="F58" s="19"/>
      <c r="G58" s="19"/>
      <c r="H58" s="19"/>
      <c r="I58" s="19"/>
      <c r="J58" s="19"/>
      <c r="K58" s="19"/>
      <c r="L58" s="19"/>
      <c r="M58" s="19"/>
      <c r="N58" s="19"/>
      <c r="O58" s="19"/>
      <c r="P58" s="19"/>
      <c r="R58" s="19"/>
    </row>
    <row r="59" spans="1:18" ht="12.75" customHeight="1" x14ac:dyDescent="0.25">
      <c r="A59" s="13"/>
      <c r="C59" s="19"/>
      <c r="D59" s="19"/>
      <c r="E59" s="19"/>
      <c r="F59" s="19"/>
      <c r="G59" s="19"/>
      <c r="H59" s="19"/>
      <c r="I59" s="19"/>
      <c r="J59" s="19"/>
      <c r="K59" s="19"/>
      <c r="L59" s="19"/>
      <c r="M59" s="19"/>
      <c r="N59" s="19"/>
      <c r="O59" s="19"/>
      <c r="P59" s="19"/>
      <c r="R59" s="19"/>
    </row>
    <row r="60" spans="1:18" ht="12.75" customHeight="1" x14ac:dyDescent="0.25">
      <c r="A60" s="13"/>
      <c r="C60" s="19"/>
      <c r="D60" s="19"/>
      <c r="E60" s="19"/>
      <c r="F60" s="19"/>
      <c r="G60" s="19"/>
      <c r="H60" s="19"/>
      <c r="I60" s="19"/>
      <c r="J60" s="19"/>
      <c r="K60" s="19"/>
      <c r="L60" s="19"/>
      <c r="M60" s="19"/>
      <c r="N60" s="19"/>
      <c r="O60" s="19"/>
      <c r="P60" s="19"/>
      <c r="R60" s="19"/>
    </row>
    <row r="61" spans="1:18" ht="12.75" customHeight="1" x14ac:dyDescent="0.25">
      <c r="A61" s="13"/>
      <c r="C61" s="19"/>
      <c r="D61" s="19"/>
      <c r="E61" s="19"/>
      <c r="F61" s="19"/>
      <c r="G61" s="19"/>
      <c r="H61" s="19"/>
      <c r="I61" s="19"/>
      <c r="J61" s="19"/>
      <c r="K61" s="19"/>
      <c r="L61" s="19"/>
      <c r="M61" s="19"/>
      <c r="N61" s="19"/>
      <c r="O61" s="19"/>
      <c r="P61" s="19"/>
      <c r="R61" s="19"/>
    </row>
    <row r="62" spans="1:18" ht="12.75" customHeight="1" x14ac:dyDescent="0.25">
      <c r="A62" s="13"/>
      <c r="C62" s="19"/>
      <c r="D62" s="19"/>
      <c r="E62" s="19"/>
      <c r="F62" s="19"/>
      <c r="G62" s="19"/>
      <c r="H62" s="19"/>
      <c r="I62" s="19"/>
      <c r="J62" s="19"/>
      <c r="K62" s="19"/>
      <c r="L62" s="19"/>
      <c r="M62" s="19"/>
      <c r="N62" s="19"/>
      <c r="O62" s="19"/>
      <c r="P62" s="19"/>
      <c r="R62" s="19"/>
    </row>
    <row r="63" spans="1:18" ht="12.75" customHeight="1" x14ac:dyDescent="0.25">
      <c r="A63" s="13"/>
      <c r="C63" s="19"/>
      <c r="D63" s="19"/>
      <c r="E63" s="19"/>
      <c r="F63" s="19"/>
      <c r="G63" s="19"/>
      <c r="H63" s="19"/>
      <c r="I63" s="19"/>
      <c r="J63" s="19"/>
      <c r="K63" s="19"/>
      <c r="L63" s="19"/>
      <c r="M63" s="19"/>
      <c r="N63" s="19"/>
      <c r="O63" s="19"/>
      <c r="P63" s="19"/>
      <c r="R63" s="19"/>
    </row>
    <row r="64" spans="1:18" s="1" customFormat="1" ht="12.75" customHeight="1" x14ac:dyDescent="0.25">
      <c r="A64" s="20"/>
      <c r="B64" s="20"/>
      <c r="C64" s="35"/>
      <c r="D64" s="35"/>
      <c r="E64" s="201" t="s">
        <v>42</v>
      </c>
      <c r="F64" s="201"/>
      <c r="G64" s="201"/>
      <c r="H64" s="201"/>
      <c r="I64" s="201"/>
      <c r="J64" s="201"/>
      <c r="K64" s="201"/>
      <c r="L64" s="201"/>
      <c r="M64" s="201"/>
      <c r="N64" s="201"/>
      <c r="O64" s="202" t="s">
        <v>29</v>
      </c>
      <c r="P64" s="202"/>
    </row>
    <row r="65" spans="1:24" s="1" customFormat="1" ht="12.75" customHeight="1" x14ac:dyDescent="0.25">
      <c r="A65" s="20"/>
      <c r="C65" s="35"/>
      <c r="D65" s="35"/>
      <c r="E65" s="201"/>
      <c r="F65" s="201"/>
      <c r="G65" s="201"/>
      <c r="H65" s="201"/>
      <c r="I65" s="201"/>
      <c r="J65" s="201"/>
      <c r="K65" s="201"/>
      <c r="L65" s="201"/>
      <c r="M65" s="201"/>
      <c r="N65" s="201"/>
      <c r="O65" s="203" t="str">
        <f>TRIM(RIGHT(SUBSTITUTE('AC and RGM only'!D2,CHAR(10),REPT(" ",100)),100)) &amp; " to " &amp; TRIM(RIGHT(SUBSTITUTE('AC and RGM only'!J2,CHAR(10),REPT(" ",100)),100))</f>
        <v>14-May-26 to 20-May-26</v>
      </c>
      <c r="P65" s="203"/>
    </row>
    <row r="66" spans="1:24" s="1" customFormat="1" ht="12.75" customHeight="1" x14ac:dyDescent="0.25">
      <c r="A66" s="20"/>
      <c r="C66" s="2"/>
      <c r="D66" s="36"/>
      <c r="E66" s="36"/>
      <c r="F66" s="36"/>
      <c r="G66" s="36"/>
      <c r="H66" s="36"/>
      <c r="I66" s="36"/>
      <c r="J66" s="36"/>
      <c r="K66" s="36"/>
      <c r="L66" s="36"/>
      <c r="M66" s="36"/>
      <c r="N66" s="36"/>
      <c r="O66" s="37"/>
      <c r="P66" s="37"/>
    </row>
    <row r="67" spans="1:24" s="1" customFormat="1" ht="12.75" customHeight="1" x14ac:dyDescent="0.25">
      <c r="A67" s="20"/>
      <c r="C67" s="212" t="s">
        <v>6</v>
      </c>
      <c r="D67" s="212"/>
      <c r="E67" s="212"/>
      <c r="F67" s="212"/>
      <c r="G67" s="39"/>
      <c r="H67" s="212" t="s">
        <v>7</v>
      </c>
      <c r="I67" s="212"/>
      <c r="J67" s="212"/>
      <c r="K67" s="212"/>
      <c r="L67" s="39"/>
      <c r="M67" s="212" t="s">
        <v>8</v>
      </c>
      <c r="N67" s="212"/>
      <c r="O67" s="212"/>
      <c r="P67" s="212"/>
    </row>
    <row r="68" spans="1:24" s="1" customFormat="1" ht="12.75" customHeight="1" x14ac:dyDescent="0.25">
      <c r="A68" s="20"/>
      <c r="B68" s="2"/>
      <c r="C68" s="189" t="s">
        <v>30</v>
      </c>
      <c r="D68" s="189"/>
      <c r="E68" s="189" t="s">
        <v>31</v>
      </c>
      <c r="F68" s="189"/>
      <c r="G68" s="40"/>
      <c r="H68" s="189" t="s">
        <v>30</v>
      </c>
      <c r="I68" s="189"/>
      <c r="J68" s="189" t="s">
        <v>31</v>
      </c>
      <c r="K68" s="189"/>
      <c r="L68" s="40"/>
      <c r="M68" s="189" t="s">
        <v>30</v>
      </c>
      <c r="N68" s="189"/>
      <c r="O68" s="189" t="s">
        <v>31</v>
      </c>
      <c r="P68" s="189"/>
    </row>
    <row r="69" spans="1:24" ht="12.75" customHeight="1" x14ac:dyDescent="0.25">
      <c r="A69" s="13"/>
      <c r="B69" s="20"/>
      <c r="C69" s="204" t="s">
        <v>43</v>
      </c>
      <c r="D69" s="204"/>
      <c r="E69" s="197" t="str">
        <f t="array" ref="E69">_xlfn.LET(
     _xlpm.Usage,SUM(C41, +     N("This is your daily usage in grams")),
     _xlpm.TubToBottle,SUM(10 + N("This is how many bottles that can be made per tub, so 10 500g bottles from a 5KG tub")),
     _xlpm.Buffer,SUM(1.25 +    N("adds a buffer")),
ROUNDUP(_xlpm.Usage*_xlpm.TubToBottle*_xlpm.Buffer, 0)&amp; " BOTTLES")</f>
        <v>6 BOTTLES</v>
      </c>
      <c r="F69" s="191"/>
      <c r="G69" s="40"/>
      <c r="H69" s="204" t="s">
        <v>43</v>
      </c>
      <c r="I69" s="204"/>
      <c r="J69" s="190" t="str">
        <f t="array" ref="J69">_xlfn.LET(
     _xlpm.Usage,SUM(E41, + N("This is your daily usage in  grams")),
     _xlpm.TubToBottle,SUM(10 + N("This is how many bottles that can be made per tub, so 10 500g bottles from a 5KG tub")),
     _xlpm.Buffer,SUM(1.25 + N("adds a buffer")),
ROUNDUP(_xlpm.Usage*_xlpm.TubToBottle*_xlpm.Buffer, 0)&amp; " BOTTLES")</f>
        <v>9 BOTTLES</v>
      </c>
      <c r="K69" s="191"/>
      <c r="L69" s="40"/>
      <c r="M69" s="204" t="s">
        <v>43</v>
      </c>
      <c r="N69" s="204"/>
      <c r="O69" s="190" t="str">
        <f t="array" ref="O69">_xlfn.LET(
     _xlpm.Usage,SUM(G41, + N("This is your daily usage in  grams")),
     _xlpm.TubToBottle,SUM(10 + N("This is how many bottles that can be made per tub, so 10 500g bottles from a 5KG tub")),
     _xlpm.Buffer,SUM(1.25 + N("adds a buffer")),
ROUNDUP(_xlpm.Usage*_xlpm.TubToBottle*_xlpm.Buffer, 0)&amp; " BOTTLES")</f>
        <v>8 BOTTLES</v>
      </c>
      <c r="P69" s="191"/>
    </row>
    <row r="70" spans="1:24" ht="12.75" customHeight="1" x14ac:dyDescent="0.25">
      <c r="A70" s="13"/>
      <c r="B70" s="20"/>
      <c r="C70" s="209" t="s">
        <v>44</v>
      </c>
      <c r="D70" s="209"/>
      <c r="E70" s="217" t="str">
        <f t="array" ref="E70">_xlfn.LET(
     _xlpm.Usage,SUM(C42, +     N("This is your daily usage in  grams")),
     _xlpm.BoxToBottle,SUM(20 + N("This is how many bottles that can be made per box, so 20 500g bottles from a 10KG box")),
     _xlpm.Buffer,SUM(1.25 +    N("adds a buffer")),
ROUNDUP(_xlpm.Usage*_xlpm.BoxToBottle*_xlpm.Buffer, 0)&amp; " BOTTLES")</f>
        <v>5 BOTTLES</v>
      </c>
      <c r="F70" s="215"/>
      <c r="G70" s="40"/>
      <c r="H70" s="209" t="s">
        <v>44</v>
      </c>
      <c r="I70" s="209"/>
      <c r="J70" s="217" t="str">
        <f t="array" ref="J70">_xlfn.LET(
     _xlpm.Usage,SUM(E42, + N("This is your daily usage in  grams")),
     _xlpm.BoxToBottle,SUM(20 + N("This is how many bottles that can be made per box, so 20 500g bottles from a 10KG box")),
     _xlpm.Buffer,SUM(1.25 + N("adds a buffer")),
ROUNDUP(_xlpm.Usage*_xlpm.BoxToBottle*_xlpm.Buffer, 0)&amp; " BOTTLES")</f>
        <v>6 BOTTLES</v>
      </c>
      <c r="K70" s="215"/>
      <c r="L70" s="40"/>
      <c r="M70" s="209" t="s">
        <v>44</v>
      </c>
      <c r="N70" s="209"/>
      <c r="O70" s="217" t="str">
        <f t="array" ref="O70">_xlfn.LET(
     _xlpm.Usage,SUM(G42, + N("This is your daily usage in  grams")),
     _xlpm.BoxToBottle,SUM(20 + N("This is how many bottles that can be made per box, so 20 500g bottles from a 10KG box")),
     _xlpm.Buffer,SUM(1.25 + N("adds a buffer")),
ROUNDUP(_xlpm.Usage*_xlpm.BoxToBottle*_xlpm.Buffer, 0)&amp; " BOTTLES")</f>
        <v>6 BOTTLES</v>
      </c>
      <c r="P70" s="215"/>
    </row>
    <row r="71" spans="1:24" ht="12.75" customHeight="1" x14ac:dyDescent="0.25">
      <c r="A71" s="13"/>
      <c r="B71" s="20"/>
      <c r="C71" s="209" t="s">
        <v>35</v>
      </c>
      <c r="D71" s="209"/>
      <c r="E71" s="217" t="str">
        <f t="array" ref="E71">_xlfn.LET(
     _xlpm.Usage,SUM(C43, +     N("This is your daily usage in  grams")),
     _xlpm.BoxToBottle,SUM(20 + N("This is how many bottles that can be made per box, so 20 500g bottles from a 10KG box")),
     _xlpm.Buffer,SUM(1.25 +    N("adds a buffer")),
ROUNDUP(_xlpm.Usage*_xlpm.BoxToBottle*_xlpm.Buffer, 0)&amp; " BOTTLES")</f>
        <v>3 BOTTLES</v>
      </c>
      <c r="F71" s="215"/>
      <c r="G71" s="40"/>
      <c r="H71" s="209" t="s">
        <v>35</v>
      </c>
      <c r="I71" s="209"/>
      <c r="J71" s="217" t="str">
        <f t="array" ref="J71">_xlfn.LET(
     _xlpm.Usage,SUM(E43, + N("This is your daily usage in  grams")),
     _xlpm.BoxToBottle,SUM(20 + N("This is how many bottles that can be made per box, so 20 500g bottles from a 10KG box")),
     _xlpm.Buffer,SUM(1.25 + N("adds a buffer")),
ROUNDUP(_xlpm.Usage*_xlpm.BoxToBottle*_xlpm.Buffer, 0)&amp; " BOTTLES")</f>
        <v>3 BOTTLES</v>
      </c>
      <c r="K71" s="215"/>
      <c r="L71" s="40"/>
      <c r="M71" s="209" t="s">
        <v>35</v>
      </c>
      <c r="N71" s="209"/>
      <c r="O71" s="217" t="str">
        <f t="array" ref="O71">_xlfn.LET(
     _xlpm.Usage,SUM(G43, + N("This is your daily usage in  grams")),
     _xlpm.BoxToBottle,SUM(20 + N("This is how many bottles that can be made per box, so 20 500g bottles from a 10KG box")),
     _xlpm.Buffer,SUM(1.25 + N("adds a buffer")),
ROUNDUP(_xlpm.Usage*_xlpm.BoxToBottle*_xlpm.Buffer, 0)&amp; " BOTTLES")</f>
        <v>3 BOTTLES</v>
      </c>
      <c r="P71" s="215"/>
    </row>
    <row r="72" spans="1:24" ht="12.75" customHeight="1" x14ac:dyDescent="0.25">
      <c r="A72" s="13"/>
      <c r="B72" s="20"/>
      <c r="C72" s="209" t="s">
        <v>45</v>
      </c>
      <c r="D72" s="209"/>
      <c r="E72" s="217" t="str">
        <f t="array" ref="E72">_xlfn.LET(
     _xlpm.Usage,SUM(C44, + N("This is your daily usage in  grams")),
     _xlpm.BoxToBottle,SUM(20 + N("This is how many bottles that can be made per box, so 20 500g bottles from a 10KG box")),
     _xlpm.Buffer,SUM(1.25 + N("adds a buffer")),
ROUNDUP(_xlpm.Usage*_xlpm.BoxToBottle*_xlpm.Buffer, 0)&amp; " BOTTLES")</f>
        <v>2 BOTTLES</v>
      </c>
      <c r="F72" s="215"/>
      <c r="G72" s="40"/>
      <c r="H72" s="209" t="s">
        <v>45</v>
      </c>
      <c r="I72" s="209"/>
      <c r="J72" s="217" t="str">
        <f t="array" ref="J72">_xlfn.LET(
     _xlpm.Usage,SUM(E44, + N("This is your daily usage in  grams")),
     _xlpm.BoxToBottle,SUM(20 + N("This is how many bottles that can be made per box, so 20 500g bottles from a 10KG box")),
     _xlpm.Buffer,SUM(1.25 + N("adds a buffer")),
ROUNDUP(_xlpm.Usage*_xlpm.BoxToBottle*_xlpm.Buffer, 0)&amp; " BOTTLES")</f>
        <v>2 BOTTLES</v>
      </c>
      <c r="K72" s="215"/>
      <c r="L72" s="40"/>
      <c r="M72" s="209" t="s">
        <v>45</v>
      </c>
      <c r="N72" s="209"/>
      <c r="O72" s="217" t="str">
        <f t="array" ref="O72">_xlfn.LET(
     _xlpm.Usage,SUM(G44, + N("This is your daily usage in  grams")),
     _xlpm.BoxToBottle,SUM(20 + N("This is how many bottles that can be made per box, so 20 500g bottles from a 10KG box")),
     _xlpm.Buffer,SUM(1.25 + N("adds a buffer")),
ROUNDUP(_xlpm.Usage*_xlpm.BoxToBottle*_xlpm.Buffer, 0)&amp; " BOTTLES")</f>
        <v>2 BOTTLES</v>
      </c>
      <c r="P72" s="215"/>
    </row>
    <row r="73" spans="1:24" ht="12.75" customHeight="1" x14ac:dyDescent="0.25">
      <c r="A73" s="13"/>
      <c r="B73" s="20"/>
      <c r="C73" s="209" t="s">
        <v>46</v>
      </c>
      <c r="D73" s="209"/>
      <c r="E73" s="217" t="str">
        <f t="array" ref="E73">_xlfn.LET(
     _xlpm.Usage,SUM(C45, + N("This is your daily usage in  grams")),
     _xlpm.BoxToBottle,SUM(20 + N("This is how many bottles that can be made per box, so 20 500g bottles from a 10KG box")),
     _xlpm.Buffer,SUM(1.25 + N("adds a buffer")),
ROUNDUP(_xlpm.Usage*_xlpm.BoxToBottle*_xlpm.Buffer, 0)&amp; " BOTTLES")</f>
        <v>2 BOTTLES</v>
      </c>
      <c r="F73" s="215"/>
      <c r="G73" s="40"/>
      <c r="H73" s="209" t="s">
        <v>46</v>
      </c>
      <c r="I73" s="209"/>
      <c r="J73" s="217" t="str">
        <f t="array" ref="J73">_xlfn.LET(
     _xlpm.Usage,SUM(E45, + N("This is your daily usage in  grams")),
     _xlpm.BoxToBottle,SUM(20 + N("This is how many bottles that can be made per box, so 20 500g bottles from a 10KG box")),
     _xlpm.Buffer,SUM(1.25 + N("adds a buffer")),
ROUNDUP(_xlpm.Usage*_xlpm.BoxToBottle*_xlpm.Buffer, 0)&amp; " BOTTLES")</f>
        <v>2 BOTTLES</v>
      </c>
      <c r="K73" s="215"/>
      <c r="L73" s="40"/>
      <c r="M73" s="209" t="s">
        <v>46</v>
      </c>
      <c r="N73" s="209"/>
      <c r="O73" s="217" t="str">
        <f t="array" ref="O73">_xlfn.LET(
     _xlpm.Usage,SUM(G45, + N("This is your daily usage in  grams")),
     _xlpm.BoxToBottle,SUM(20 + N("This is how many bottles that can be made per box, so 20 500g bottles from a 10KG box")),
     _xlpm.Buffer,SUM(1.25 + N("adds a buffer")),
ROUNDUP(_xlpm.Usage*_xlpm.BoxToBottle*_xlpm.Buffer, 0)&amp; " BOTTLES")</f>
        <v>2 BOTTLES</v>
      </c>
      <c r="P73" s="215"/>
    </row>
    <row r="74" spans="1:24" ht="12.75" customHeight="1" x14ac:dyDescent="0.25">
      <c r="A74" s="13"/>
      <c r="B74" s="20"/>
      <c r="C74" s="209" t="s">
        <v>47</v>
      </c>
      <c r="D74" s="209"/>
      <c r="E74" s="217" t="str">
        <f t="array" ref="E74">_xlfn.LET(
     _xlpm.Usage,SUM(C46, + N("This is your daily usage in  grams")),
     _xlpm.BoxToBottle,SUM(20 + N("This is how many bottles that can be made per box, so 20 500g bottles from a 10KG box")),
     _xlpm.Buffer,SUM(1.25 + N("adds a buffer")),
ROUNDUP(_xlpm.Usage*_xlpm.BoxToBottle*_xlpm.Buffer, 0)&amp; " BOTTLES")</f>
        <v>3 BOTTLES</v>
      </c>
      <c r="F74" s="215"/>
      <c r="G74" s="42"/>
      <c r="H74" s="209" t="s">
        <v>47</v>
      </c>
      <c r="I74" s="209"/>
      <c r="J74" s="217" t="str">
        <f t="array" ref="J74">_xlfn.LET(
     _xlpm.Usage,SUM(E46, + N("This is your daily usage in  grams")),
     _xlpm.BoxToBottle,SUM(20 + N("This is how many bottles that can be made per box, so 20 500g bottles from a 10KG box")),
     _xlpm.Buffer,SUM(1.25 + N("adds a buffer")),
ROUNDUP(_xlpm.Usage*_xlpm.BoxToBottle*_xlpm.Buffer, 0)&amp; " BOTTLES")</f>
        <v>4 BOTTLES</v>
      </c>
      <c r="K74" s="215"/>
      <c r="L74" s="42"/>
      <c r="M74" s="209" t="s">
        <v>47</v>
      </c>
      <c r="N74" s="209"/>
      <c r="O74" s="217" t="str">
        <f t="array" ref="O74">_xlfn.LET(
     _xlpm.Usage,SUM(G46, + N("This is your daily usage in  grams")),
     _xlpm.BoxToBottle,SUM(20 + N("This is how many bottles that can be made per box, so 20 500g bottles from a 10KG box")),
     _xlpm.Buffer,SUM(1.25 + N("adds a buffer")),
ROUNDUP(_xlpm.Usage*_xlpm.BoxToBottle*_xlpm.Buffer, 0)&amp; " BOTTLES")</f>
        <v>4 BOTTLES</v>
      </c>
      <c r="P74" s="215"/>
      <c r="Q74" s="13"/>
      <c r="S74" s="13"/>
    </row>
    <row r="75" spans="1:24" ht="12.75" customHeight="1" x14ac:dyDescent="0.25">
      <c r="B75" s="20"/>
      <c r="C75" s="209" t="s">
        <v>48</v>
      </c>
      <c r="D75" s="209"/>
      <c r="E75" s="217" t="str">
        <f t="array" ref="E75">_xlfn.LET(
     _xlpm.Usage,SUM(C47, + N("This is your daily usage in  grams")),
     _xlpm.BoxToBottle,SUM(20 + N("This is how many bottles that can be made per box, so 20 500g bottles from a 10KG box")),
     _xlpm.Buffer,SUM(1.25 + N("adds a buffer")),
ROUNDUP(_xlpm.Usage*_xlpm.BoxToBottle*_xlpm.Buffer, 0)&amp; " BOTTLES")</f>
        <v>1 BOTTLES</v>
      </c>
      <c r="F75" s="215"/>
      <c r="G75" s="42"/>
      <c r="H75" s="209" t="s">
        <v>48</v>
      </c>
      <c r="I75" s="209"/>
      <c r="J75" s="217" t="str">
        <f t="array" ref="J75">_xlfn.LET(
     _xlpm.Usage,SUM(E47, + N("This is your daily usage in  grams")),
     _xlpm.BoxToBottle,SUM(20 + N("This is how many bottles that can be made per box, so 20 500g bottles from a 10KG box")),
     _xlpm.Buffer,SUM(1.25 + N("adds a buffer")),
ROUNDUP(_xlpm.Usage*_xlpm.BoxToBottle*_xlpm.Buffer, 0)&amp; " BOTTLES")</f>
        <v>1 BOTTLES</v>
      </c>
      <c r="K75" s="215"/>
      <c r="L75" s="42"/>
      <c r="M75" s="209" t="s">
        <v>48</v>
      </c>
      <c r="N75" s="209"/>
      <c r="O75" s="217" t="str">
        <f t="array" ref="O75">_xlfn.LET(
     _xlpm.Usage,SUM(G47, + N("This is your daily usage in  grams")),
     _xlpm.BoxToBottle,SUM(20 + N("This is how many bottles that can be made per box, so 20 500g bottles from a 10KG box")),
     _xlpm.Buffer,SUM(1.25 + N("adds a buffer")),
ROUNDUP(_xlpm.Usage*_xlpm.BoxToBottle*_xlpm.Buffer, 0)&amp; " BOTTLES")</f>
        <v>2 BOTTLES</v>
      </c>
      <c r="P75" s="215"/>
    </row>
    <row r="76" spans="1:24" ht="12.75" customHeight="1" x14ac:dyDescent="0.25">
      <c r="B76" s="20"/>
      <c r="C76" s="204" t="s">
        <v>49</v>
      </c>
      <c r="D76" s="204"/>
      <c r="E76" s="205" t="str">
        <f t="array" ref="E76">_xlfn.LET(
     _xlpm.Usage,SUM(C48, + N("This is your daily usage in  KG")),
     _xlpm.BagToPan,SUM(1 + N("This is how many Pans that can be made per bag, so 1 1KG Pan per Bag")),
     _xlpm.Buffer,SUM(1.25 + N("adds a buffer")),
ROUNDUP(_xlpm.Usage*_xlpm.BagToPan*_xlpm.Buffer, 0)&amp; " PANS")</f>
        <v>2 PANS</v>
      </c>
      <c r="F76" s="206"/>
      <c r="G76" s="43"/>
      <c r="H76" s="204" t="s">
        <v>49</v>
      </c>
      <c r="I76" s="204"/>
      <c r="J76" s="205" t="str">
        <f t="array" ref="J76">_xlfn.LET(
     _xlpm.Usage,SUM(E48, + N("This is your daily usage in KG")),
     _xlpm.BagToPan,SUM(1 + N("This is how many Pans that can be made per bag, so 1 1KG Pan per Bag")),
     _xlpm.Buffer,SUM(1.25 + N("adds a buffer")),
ROUNDUP(_xlpm.Usage*_xlpm.BagToPan*_xlpm.Buffer, 0)&amp; " PANS")</f>
        <v>2 PANS</v>
      </c>
      <c r="K76" s="206"/>
      <c r="L76" s="43"/>
      <c r="M76" s="204" t="s">
        <v>49</v>
      </c>
      <c r="N76" s="204"/>
      <c r="O76" s="205" t="str">
        <f t="array" ref="O76">_xlfn.LET(
     _xlpm.Usage,SUM(G48, + N("This is your daily usage in KG")),
     _xlpm.BagToPan,SUM(1 + N("This is how many Pans that can be made per bag, so 1 1KG Pan per Bag")),
     _xlpm.Buffer,SUM(1.25 + N("adds a buffer")),
ROUNDUP(_xlpm.Usage*_xlpm.BagToPan*_xlpm.Buffer, 0)&amp; " PANS")</f>
        <v>2 PANS</v>
      </c>
      <c r="P76" s="206"/>
    </row>
    <row r="77" spans="1:24" ht="12.75" customHeight="1" x14ac:dyDescent="0.25">
      <c r="B77" s="20"/>
      <c r="C77" s="204" t="s">
        <v>50</v>
      </c>
      <c r="D77" s="204"/>
      <c r="E77" s="205" t="str">
        <f t="array" ref="E77">_xlfn.LET(
     _xlpm.Usage,SUM(C49/1850, + N("This is your daily usage in grams, divided into bag sizes")),
     _xlpm.BagToPan,SUM(1 + N("This is how many bags per pan")),
     _xlpm.Buffer,SUM(1.25 + N("adds a buffer")),
ROUNDUP(_xlpm.Usage*_xlpm.BagToPan*_xlpm.Buffer, 0)&amp; " PANS")</f>
        <v>2 PANS</v>
      </c>
      <c r="F77" s="206"/>
      <c r="G77" s="43"/>
      <c r="H77" s="204" t="s">
        <v>50</v>
      </c>
      <c r="I77" s="204"/>
      <c r="J77" s="205" t="str">
        <f t="array" ref="J77">_xlfn.LET(
     _xlpm.Usage,SUM(E49/1850, + N("This is your daily usage in grams, divided into bag sizes")),
     _xlpm.BagToPan,SUM(1 + N("This is how many bags per pan")),
     _xlpm.Buffer,SUM(1.25 + N("adds a buffer")),
ROUNDUP(_xlpm.Usage*_xlpm.BagToPan*_xlpm.Buffer, 0)&amp; " PANS")</f>
        <v>2 PANS</v>
      </c>
      <c r="K77" s="206"/>
      <c r="L77" s="43"/>
      <c r="M77" s="204" t="s">
        <v>50</v>
      </c>
      <c r="N77" s="204"/>
      <c r="O77" s="205" t="str">
        <f t="array" ref="O77">_xlfn.LET(
     _xlpm.Usage,SUM(G49/1850, + N("This is your daily usage in grams, divided into bag sizes")),
     _xlpm.BagToPan,SUM(1 + N("This is how many bags per pan")),
     _xlpm.Buffer,SUM(1.25 + N("adds a buffer")),
ROUNDUP(_xlpm.Usage*_xlpm.BagToPan*_xlpm.Buffer, 0)&amp; " PANS")</f>
        <v>1 PANS</v>
      </c>
      <c r="P77" s="206"/>
    </row>
    <row r="78" spans="1:24" ht="12.75" customHeight="1" x14ac:dyDescent="0.25">
      <c r="B78" s="20"/>
      <c r="C78" s="44"/>
      <c r="D78" s="44"/>
      <c r="E78" s="44"/>
      <c r="F78" s="45"/>
      <c r="G78" s="45"/>
      <c r="H78" s="45"/>
      <c r="I78" s="45"/>
      <c r="J78" s="45"/>
      <c r="K78" s="45"/>
      <c r="L78" s="45"/>
      <c r="M78" s="45"/>
      <c r="N78" s="45"/>
      <c r="O78" s="46"/>
      <c r="P78" s="46"/>
      <c r="U78" s="38"/>
    </row>
    <row r="79" spans="1:24" ht="12.75" customHeight="1" x14ac:dyDescent="0.25">
      <c r="A79" s="13"/>
      <c r="B79" s="20"/>
      <c r="C79" s="212" t="s">
        <v>9</v>
      </c>
      <c r="D79" s="212"/>
      <c r="E79" s="212"/>
      <c r="F79" s="212"/>
      <c r="G79" s="39"/>
      <c r="H79" s="212" t="s">
        <v>10</v>
      </c>
      <c r="I79" s="212"/>
      <c r="J79" s="212"/>
      <c r="K79" s="212"/>
      <c r="L79" s="39"/>
      <c r="M79" s="212" t="s">
        <v>11</v>
      </c>
      <c r="N79" s="212"/>
      <c r="O79" s="212"/>
      <c r="P79" s="212"/>
    </row>
    <row r="80" spans="1:24" ht="12.75" customHeight="1" x14ac:dyDescent="0.25">
      <c r="A80" s="13"/>
      <c r="B80" s="44"/>
      <c r="C80" s="189" t="s">
        <v>30</v>
      </c>
      <c r="D80" s="189"/>
      <c r="E80" s="189" t="s">
        <v>31</v>
      </c>
      <c r="F80" s="189"/>
      <c r="G80" s="40"/>
      <c r="H80" s="189" t="s">
        <v>30</v>
      </c>
      <c r="I80" s="189"/>
      <c r="J80" s="189" t="s">
        <v>31</v>
      </c>
      <c r="K80" s="189"/>
      <c r="L80" s="40"/>
      <c r="M80" s="189" t="s">
        <v>30</v>
      </c>
      <c r="N80" s="189"/>
      <c r="O80" s="189" t="s">
        <v>31</v>
      </c>
      <c r="P80" s="189"/>
      <c r="Q80" s="41"/>
      <c r="R80" s="41"/>
      <c r="S80" s="41"/>
      <c r="T80" s="41"/>
      <c r="U80" s="41"/>
      <c r="V80" s="41"/>
      <c r="W80" s="41"/>
      <c r="X80" s="41"/>
    </row>
    <row r="81" spans="1:24" ht="12.75" customHeight="1" x14ac:dyDescent="0.25">
      <c r="A81" s="13"/>
      <c r="B81" s="20"/>
      <c r="C81" s="204" t="s">
        <v>43</v>
      </c>
      <c r="D81" s="204"/>
      <c r="E81" s="190" t="str">
        <f t="array" ref="E81">_xlfn.LET(
     _xlpm.Usage,SUM(I41, + N("This is your daily usage in  grams")),
     _xlpm.TubToBottle,SUM(10 + N("This is how many bottles that can be made per tub, so 10 500g bottles from a 5KG tub")),
     _xlpm.Buffer,SUM(1.25 + N("adds a buffer")),
ROUNDUP(_xlpm.Usage*_xlpm.TubToBottle*_xlpm.Buffer, 0)&amp; " BOTTLES")</f>
        <v>12 BOTTLES</v>
      </c>
      <c r="F81" s="191"/>
      <c r="G81" s="55"/>
      <c r="H81" s="213" t="s">
        <v>43</v>
      </c>
      <c r="I81" s="213"/>
      <c r="J81" s="190" t="str">
        <f t="array" ref="J81">_xlfn.LET(
     _xlpm.Usage,SUM(K41, + N("This is your daily usage in  grams")),
     _xlpm.TubToBottle,SUM(10 + N("This is how many bottles that can be made per tub, so 10 500g bottles from a 5KG tub")),
     _xlpm.Buffer,SUM(1.25 + N("adds a buffer")),
ROUNDUP(_xlpm.Usage*_xlpm.TubToBottle*_xlpm.Buffer, 0)&amp; " BOTTLES")</f>
        <v>18 BOTTLES</v>
      </c>
      <c r="K81" s="191"/>
      <c r="L81" s="55"/>
      <c r="M81" s="213" t="s">
        <v>43</v>
      </c>
      <c r="N81" s="213"/>
      <c r="O81" s="190" t="str">
        <f t="array" ref="O81">_xlfn.LET(
     _xlpm.Usage,SUM(M41, + N("This is your daily usage in  grams")),
     _xlpm.TubToBottle,SUM(10 + N("This is how many bottles that can be made per tub, so 10 500g bottles from a 5KG tub")),
     _xlpm.Buffer,SUM(1.25 + N("adds a buffer")),
ROUNDUP(_xlpm.Usage*_xlpm.TubToBottle*_xlpm.Buffer, 0)&amp; " BOTTLES")</f>
        <v>15 BOTTLES</v>
      </c>
      <c r="P81" s="191"/>
      <c r="Q81" s="41"/>
      <c r="R81" s="41"/>
      <c r="S81" s="41"/>
      <c r="T81" s="41"/>
      <c r="U81" s="41"/>
      <c r="V81" s="41"/>
      <c r="W81" s="41"/>
      <c r="X81" s="41"/>
    </row>
    <row r="82" spans="1:24" ht="12.75" customHeight="1" x14ac:dyDescent="0.25">
      <c r="A82" s="13"/>
      <c r="B82" s="20"/>
      <c r="C82" s="209" t="s">
        <v>44</v>
      </c>
      <c r="D82" s="209"/>
      <c r="E82" s="214" t="str">
        <f t="array" ref="E82">_xlfn.LET(
     _xlpm.Usage,SUM(I42, + N("This is your daily usage in  grams")),
     _xlpm.BoxToBottle,SUM(20 + N("This is how many bottles that can be made per box, so 20 500g bottles from a 10KG box")),
     _xlpm.Buffer,SUM(1.25 + N("adds a buffer")),
ROUNDUP(_xlpm.Usage*_xlpm.BoxToBottle*_xlpm.Buffer, 0)&amp; " BOTTLES")</f>
        <v>7 BOTTLES</v>
      </c>
      <c r="F82" s="215"/>
      <c r="G82" s="55"/>
      <c r="H82" s="216" t="s">
        <v>44</v>
      </c>
      <c r="I82" s="216"/>
      <c r="J82" s="217" t="str">
        <f t="array" ref="J82">_xlfn.LET(
     _xlpm.Usage,SUM(K42, + N("This is your daily usage in  grams")),
     _xlpm.BoxToBottle,SUM(20 + N("This is how many bottles that can be made per box, so 20 500g bottles from a 10KG box")),
     _xlpm.Buffer,SUM(1.25 + N("adds a buffer")),
ROUNDUP(_xlpm.Usage*_xlpm.BoxToBottle*_xlpm.Buffer, 0)&amp; " BOTTLES")</f>
        <v>11 BOTTLES</v>
      </c>
      <c r="K82" s="215"/>
      <c r="L82" s="55"/>
      <c r="M82" s="216" t="s">
        <v>44</v>
      </c>
      <c r="N82" s="216"/>
      <c r="O82" s="217" t="str">
        <f t="array" ref="O82">_xlfn.LET(
     _xlpm.Usage,SUM(K42, + N("This is your daily usage in  grams")),
     _xlpm.BoxToBottle,SUM(20 + N("This is how many bottles that can be made per box, so 20 500g bottles from a 10KG box")),
     _xlpm.Buffer,SUM(1.25 + N("adds a buffer")),
ROUNDUP(_xlpm.Usage*_xlpm.BoxToBottle*_xlpm.Buffer, 0)&amp; " BOTTLES")</f>
        <v>11 BOTTLES</v>
      </c>
      <c r="P82" s="215"/>
      <c r="Q82" s="41"/>
      <c r="R82" s="41"/>
      <c r="S82" s="41"/>
      <c r="T82" s="41"/>
      <c r="U82" s="41"/>
      <c r="V82" s="41"/>
      <c r="W82" s="41"/>
      <c r="X82" s="41"/>
    </row>
    <row r="83" spans="1:24" ht="12.75" customHeight="1" x14ac:dyDescent="0.25">
      <c r="A83" s="13"/>
      <c r="B83" s="20"/>
      <c r="C83" s="209" t="s">
        <v>35</v>
      </c>
      <c r="D83" s="209"/>
      <c r="E83" s="214" t="str">
        <f t="array" ref="E83">_xlfn.LET(
     _xlpm.Usage,SUM(I43, + N("This is your daily usage in  grams")),
     _xlpm.BoxToBottle,SUM(20 + N("This is how many bottles that can be made per box, so 20 500g bottles from a 10KG box")),
     _xlpm.Buffer,SUM(1.25 + N("adds a buffer")),
ROUNDUP(_xlpm.Usage*_xlpm.BoxToBottle*_xlpm.Buffer, 0)&amp; " BOTTLES")</f>
        <v>4 BOTTLES</v>
      </c>
      <c r="F83" s="215"/>
      <c r="G83" s="55"/>
      <c r="H83" s="216" t="s">
        <v>35</v>
      </c>
      <c r="I83" s="216"/>
      <c r="J83" s="217" t="str">
        <f t="array" ref="J83">_xlfn.LET(
     _xlpm.Usage,SUM(K43, + N("This is your daily usage in  grams")),
     _xlpm.BoxToBottle,SUM(20 + N("This is how many bottles that can be made per box, so 20 500g bottles from a 10KG box")),
     _xlpm.Buffer,SUM(1.25 + N("adds a buffer")),
ROUNDUP(_xlpm.Usage*_xlpm.BoxToBottle*_xlpm.Buffer, 0)&amp; " BOTTLES")</f>
        <v>6 BOTTLES</v>
      </c>
      <c r="K83" s="215"/>
      <c r="L83" s="55"/>
      <c r="M83" s="216" t="s">
        <v>35</v>
      </c>
      <c r="N83" s="216"/>
      <c r="O83" s="217" t="str">
        <f t="array" ref="O83">_xlfn.LET(
     _xlpm.Usage,SUM(K43, + N("This is your daily usage in  grams")),
     _xlpm.BoxToBottle,SUM(20 + N("This is how many bottles that can be made per box, so 20 500g bottles from a 10KG box")),
     _xlpm.Buffer,SUM(1.25 + N("adds a buffer")),
ROUNDUP(_xlpm.Usage*_xlpm.BoxToBottle*_xlpm.Buffer, 0)&amp; " BOTTLES")</f>
        <v>6 BOTTLES</v>
      </c>
      <c r="P83" s="215"/>
      <c r="Q83" s="41"/>
      <c r="R83" s="41"/>
      <c r="S83" s="41"/>
      <c r="T83" s="41"/>
      <c r="U83" s="41"/>
      <c r="V83" s="41"/>
      <c r="W83" s="41"/>
      <c r="X83" s="41"/>
    </row>
    <row r="84" spans="1:24" ht="12.75" customHeight="1" x14ac:dyDescent="0.25">
      <c r="A84" s="13"/>
      <c r="B84" s="20"/>
      <c r="C84" s="209" t="s">
        <v>45</v>
      </c>
      <c r="D84" s="209"/>
      <c r="E84" s="214" t="str">
        <f t="array" ref="E84">_xlfn.LET(
     _xlpm.Usage,SUM(I44, + N("This is your daily usage in  grams")),
     _xlpm.BoxToBottle,SUM(20 + N("This is how many bottles that can be made per box, so 20 500g bottles from a 10KG box")),
     _xlpm.Buffer,SUM(1.25 + N("adds a buffer")),
ROUNDUP(_xlpm.Usage*_xlpm.BoxToBottle*_xlpm.Buffer, 0)&amp; " BOTTLES")</f>
        <v>1 BOTTLES</v>
      </c>
      <c r="F84" s="215"/>
      <c r="G84" s="55"/>
      <c r="H84" s="216" t="s">
        <v>45</v>
      </c>
      <c r="I84" s="216"/>
      <c r="J84" s="217" t="str">
        <f t="array" ref="J84">_xlfn.LET(
     _xlpm.Usage,SUM(K44, + N("This is your daily usage in  grams")),
     _xlpm.BoxToBottle,SUM(20 + N("This is how many bottles that can be made per box, so 20 500g bottles from a 10KG box")),
     _xlpm.Buffer,SUM(1.25 + N("adds a buffer")),
ROUNDUP(_xlpm.Usage*_xlpm.BoxToBottle*_xlpm.Buffer, 0)&amp; " BOTTLES")</f>
        <v>3 BOTTLES</v>
      </c>
      <c r="K84" s="215"/>
      <c r="L84" s="55"/>
      <c r="M84" s="216" t="s">
        <v>45</v>
      </c>
      <c r="N84" s="216"/>
      <c r="O84" s="217" t="str">
        <f t="array" ref="O84">_xlfn.LET(
     _xlpm.Usage,SUM(K44, + N("This is your daily usage in  grams")),
     _xlpm.BoxToBottle,SUM(20 + N("This is how many bottles that can be made per box, so 20 500g bottles from a 10KG box")),
     _xlpm.Buffer,SUM(1.25 + N("adds a buffer")),
ROUNDUP(_xlpm.Usage*_xlpm.BoxToBottle*_xlpm.Buffer, 0)&amp; " BOTTLES")</f>
        <v>3 BOTTLES</v>
      </c>
      <c r="P84" s="215"/>
      <c r="Q84" s="41"/>
      <c r="R84" s="41"/>
      <c r="S84" s="41"/>
      <c r="T84" s="41"/>
      <c r="U84" s="41"/>
      <c r="V84" s="41"/>
      <c r="W84" s="41"/>
      <c r="X84" s="41"/>
    </row>
    <row r="85" spans="1:24" ht="12.75" customHeight="1" x14ac:dyDescent="0.25">
      <c r="A85" s="13"/>
      <c r="B85" s="20"/>
      <c r="C85" s="209" t="s">
        <v>46</v>
      </c>
      <c r="D85" s="209"/>
      <c r="E85" s="214" t="str">
        <f t="array" ref="E85">_xlfn.LET(
     _xlpm.Usage,SUM(I45, + N("This is your daily usage in  grams")),
     _xlpm.BoxToBottle,SUM(20 + N("This is how many bottles that can be made per box, so 20 500g bottles from a 10KG box")),
     _xlpm.Buffer,SUM(1.25 + N("adds a buffer")),
ROUNDUP(_xlpm.Usage*_xlpm.BoxToBottle*_xlpm.Buffer, 0)&amp; " BOTTLES")</f>
        <v>2 BOTTLES</v>
      </c>
      <c r="F85" s="215"/>
      <c r="G85" s="55"/>
      <c r="H85" s="216" t="s">
        <v>46</v>
      </c>
      <c r="I85" s="216"/>
      <c r="J85" s="217" t="str">
        <f t="array" ref="J85">_xlfn.LET(
     _xlpm.Usage,SUM(K45, + N("This is your daily usage in  grams")),
     _xlpm.BoxToBottle,SUM(20 + N("This is how many bottles that can be made per box, so 20 500g bottles from a 10KG box")),
     _xlpm.Buffer,SUM(1.25 + N("adds a buffer")),
ROUNDUP(_xlpm.Usage*_xlpm.BoxToBottle*_xlpm.Buffer, 0)&amp; " BOTTLES")</f>
        <v>3 BOTTLES</v>
      </c>
      <c r="K85" s="215"/>
      <c r="L85" s="55"/>
      <c r="M85" s="216" t="s">
        <v>46</v>
      </c>
      <c r="N85" s="216"/>
      <c r="O85" s="217" t="str">
        <f t="array" ref="O85">_xlfn.LET(
     _xlpm.Usage,SUM(K45, + N("This is your daily usage in  grams")),
     _xlpm.BoxToBottle,SUM(20 + N("This is how many bottles that can be made per box, so 20 500g bottles from a 10KG box")),
     _xlpm.Buffer,SUM(1.25 + N("adds a buffer")),
ROUNDUP(_xlpm.Usage*_xlpm.BoxToBottle*_xlpm.Buffer, 0)&amp; " BOTTLES")</f>
        <v>3 BOTTLES</v>
      </c>
      <c r="P85" s="215"/>
      <c r="Q85" s="41"/>
      <c r="R85" s="41"/>
      <c r="S85" s="41"/>
      <c r="T85" s="41"/>
      <c r="U85" s="41"/>
      <c r="V85" s="41"/>
      <c r="W85" s="41"/>
      <c r="X85" s="41"/>
    </row>
    <row r="86" spans="1:24" ht="12.75" customHeight="1" x14ac:dyDescent="0.25">
      <c r="A86" s="13"/>
      <c r="B86" s="20"/>
      <c r="C86" s="209" t="s">
        <v>47</v>
      </c>
      <c r="D86" s="209"/>
      <c r="E86" s="214" t="str">
        <f t="array" ref="E86">_xlfn.LET(
     _xlpm.Usage,SUM(I46, + N("This is your daily usage in  grams")),
     _xlpm.BoxToBottle,SUM(20 + N("This is how many bottles that can be made per box, so 20 500g bottles from a 10KG box")),
     _xlpm.Buffer,SUM(1.25 + N("adds a buffer")),
ROUNDUP(_xlpm.Usage*_xlpm.BoxToBottle*_xlpm.Buffer, 0)&amp; " BOTTLES")</f>
        <v>6 BOTTLES</v>
      </c>
      <c r="F86" s="215"/>
      <c r="G86" s="42"/>
      <c r="H86" s="216" t="s">
        <v>47</v>
      </c>
      <c r="I86" s="216"/>
      <c r="J86" s="217" t="str">
        <f t="array" ref="J86">_xlfn.LET(
     _xlpm.Usage,SUM(K46, + N("This is your daily usage in  grams")),
     _xlpm.BoxToBottle,SUM(20 + N("This is how many bottles that can be made per box, so 20 500g bottles from a 10KG box")),
     _xlpm.Buffer,SUM(1.25 + N("adds a buffer")),
ROUNDUP(_xlpm.Usage*_xlpm.BoxToBottle*_xlpm.Buffer, 0)&amp; " BOTTLES")</f>
        <v>7 BOTTLES</v>
      </c>
      <c r="K86" s="215"/>
      <c r="L86" s="42"/>
      <c r="M86" s="216" t="s">
        <v>47</v>
      </c>
      <c r="N86" s="216"/>
      <c r="O86" s="217" t="str">
        <f t="array" ref="O86">_xlfn.LET(
     _xlpm.Usage,SUM(K46, + N("This is your daily usage in  grams")),
     _xlpm.BoxToBottle,SUM(20 + N("This is how many bottles that can be made per box, so 20 500g bottles from a 10KG box")),
     _xlpm.Buffer,SUM(1.25 + N("adds a buffer")),
ROUNDUP(_xlpm.Usage*_xlpm.BoxToBottle*_xlpm.Buffer, 0)&amp; " BOTTLES")</f>
        <v>7 BOTTLES</v>
      </c>
      <c r="P86" s="215"/>
      <c r="Q86" s="41"/>
      <c r="R86" s="41"/>
      <c r="S86" s="41"/>
      <c r="T86" s="41"/>
      <c r="U86" s="41"/>
      <c r="V86" s="41"/>
      <c r="W86" s="41"/>
      <c r="X86" s="41"/>
    </row>
    <row r="87" spans="1:24" ht="12.75" customHeight="1" x14ac:dyDescent="0.25">
      <c r="A87" s="13"/>
      <c r="B87" s="20"/>
      <c r="C87" s="209" t="s">
        <v>48</v>
      </c>
      <c r="D87" s="209"/>
      <c r="E87" s="214" t="str">
        <f t="array" ref="E87">_xlfn.LET(
     _xlpm.Usage,SUM(I47, + N("This is your daily usage in  grams")),
     _xlpm.BoxToBottle,SUM(20 + N("This is how many bottles that can be made per box, so 20 500g bottles from a 10KG box")),
     _xlpm.Buffer,SUM(1.25 + N("adds a buffer")),
ROUNDUP(_xlpm.Usage*_xlpm.BoxToBottle*_xlpm.Buffer, 0)&amp; " BOTTLES")</f>
        <v>2 BOTTLES</v>
      </c>
      <c r="F87" s="215"/>
      <c r="G87" s="42"/>
      <c r="H87" s="216" t="s">
        <v>48</v>
      </c>
      <c r="I87" s="216"/>
      <c r="J87" s="217" t="str">
        <f t="array" ref="J87">_xlfn.LET(
     _xlpm.Usage,SUM(K47, + N("This is your daily usage in  grams")),
     _xlpm.BoxToBottle,SUM(20 + N("This is how many bottles that can be made per box, so 20 500g bottles from a 10KG box")),
     _xlpm.Buffer,SUM(1.25 + N("adds a buffer")),
ROUNDUP(_xlpm.Usage*_xlpm.BoxToBottle*_xlpm.Buffer, 0)&amp; " BOTTLES")</f>
        <v>3 BOTTLES</v>
      </c>
      <c r="K87" s="215"/>
      <c r="L87" s="42"/>
      <c r="M87" s="216" t="s">
        <v>48</v>
      </c>
      <c r="N87" s="216"/>
      <c r="O87" s="217" t="str">
        <f t="array" ref="O87">_xlfn.LET(
     _xlpm.Usage,SUM(K47, + N("This is your daily usage in  grams")),
     _xlpm.BoxToBottle,SUM(20 + N("This is how many bottles that can be made per box, so 20 500g bottles from a 10KG box")),
     _xlpm.Buffer,SUM(1.25 + N("adds a buffer")),
ROUNDUP(_xlpm.Usage*_xlpm.BoxToBottle*_xlpm.Buffer, 0)&amp; " BOTTLES")</f>
        <v>3 BOTTLES</v>
      </c>
      <c r="P87" s="215"/>
      <c r="Q87" s="41"/>
      <c r="R87" s="41"/>
      <c r="S87" s="41"/>
      <c r="T87" s="41"/>
      <c r="U87" s="41"/>
      <c r="V87" s="41"/>
      <c r="W87" s="41"/>
      <c r="X87" s="41"/>
    </row>
    <row r="88" spans="1:24" ht="12.75" customHeight="1" x14ac:dyDescent="0.25">
      <c r="A88" s="13"/>
      <c r="B88" s="20"/>
      <c r="C88" s="204" t="s">
        <v>49</v>
      </c>
      <c r="D88" s="204"/>
      <c r="E88" s="205" t="str">
        <f t="array" ref="E88">_xlfn.LET(
     _xlpm.Usage,SUM(I48, + N("This is your daily usage in KG")),
     _xlpm.BagToPan,SUM(1 + N("This is how many Pans that can be made per bag, so 1 1KG Pan per Bag")),
     _xlpm.Buffer,SUM(1.25 + N("adds a buffer")),
ROUNDUP(_xlpm.Usage*_xlpm.BagToPan*_xlpm.Buffer, 0)&amp; " PANS")</f>
        <v>3 PANS</v>
      </c>
      <c r="F88" s="206"/>
      <c r="G88" s="43"/>
      <c r="H88" s="213" t="s">
        <v>49</v>
      </c>
      <c r="I88" s="213"/>
      <c r="J88" s="205" t="str">
        <f t="array" ref="J88">_xlfn.LET(
     _xlpm.Usage,SUM(K48, + N("This is your daily usage in KG")),
     _xlpm.BagToPan,SUM(1 + N("This is how many Pans that can be made per bag, so 1 1KG Pan per Bag")),
     _xlpm.Buffer,SUM(1.25 + N("adds a buffer")),
ROUNDUP(_xlpm.Usage*_xlpm.BagToPan*_xlpm.Buffer, 0)&amp; " PANS")</f>
        <v>4 PANS</v>
      </c>
      <c r="K88" s="206"/>
      <c r="L88" s="43"/>
      <c r="M88" s="213" t="s">
        <v>49</v>
      </c>
      <c r="N88" s="213"/>
      <c r="O88" s="205" t="str">
        <f t="array" ref="O88">_xlfn.LET(
     _xlpm.Usage,SUM(M48, + N("This is your daily usage in KG")),
     _xlpm.BagToPan,SUM(1 + N("This is how many Pans that can be made per bag, so 1 1KG Pan per Bag")),
     _xlpm.Buffer,SUM(1.25 + N("adds a buffer")),
ROUNDUP(_xlpm.Usage*_xlpm.BagToPan*_xlpm.Buffer, 0)&amp; " PANS")</f>
        <v>3 PANS</v>
      </c>
      <c r="P88" s="206"/>
      <c r="Q88" s="41"/>
      <c r="R88" s="41"/>
      <c r="S88" s="41"/>
      <c r="T88" s="41"/>
      <c r="U88" s="41"/>
      <c r="V88" s="41"/>
      <c r="W88" s="41"/>
      <c r="X88" s="41"/>
    </row>
    <row r="89" spans="1:24" ht="12.75" customHeight="1" x14ac:dyDescent="0.25">
      <c r="A89" s="13"/>
      <c r="B89" s="20"/>
      <c r="C89" s="204" t="s">
        <v>50</v>
      </c>
      <c r="D89" s="204"/>
      <c r="E89" s="205" t="str">
        <f t="array" ref="E89">_xlfn.LET(
     _xlpm.Usage,SUM(I49/1850, + N("This is your daily usage in grams, divided into bag sizes")),
     _xlpm.BagToPan,SUM(1 + N("This is how many bags per pan")),
     _xlpm.Buffer,SUM(1.25 + N("adds a buffer")),
ROUNDUP(_xlpm.Usage*_xlpm.BagToPan*_xlpm.Buffer, 0)&amp; " PANS")</f>
        <v>3 PANS</v>
      </c>
      <c r="F89" s="206"/>
      <c r="G89" s="43"/>
      <c r="H89" s="213" t="s">
        <v>50</v>
      </c>
      <c r="I89" s="213"/>
      <c r="J89" s="205" t="str">
        <f t="array" ref="J89">_xlfn.LET(
     _xlpm.Usage,SUM(K49/1850, + N("This is your daily usage in grams, divided into bag sizes")),
     _xlpm.BagToPan,SUM(1 + N("This is how many bags per pan")),
     _xlpm.Buffer,SUM(1.25 + N("adds a buffer")),
ROUNDUP(_xlpm.Usage*_xlpm.BagToPan*_xlpm.Buffer, 0)&amp; " PANS")</f>
        <v>3 PANS</v>
      </c>
      <c r="K89" s="206"/>
      <c r="L89" s="43"/>
      <c r="M89" s="213" t="s">
        <v>50</v>
      </c>
      <c r="N89" s="213"/>
      <c r="O89" s="205" t="str">
        <f t="array" ref="O89">_xlfn.LET(
     _xlpm.Usage,SUM(M49/1850, + N("This is your daily usage in grams, divided into bag sizes")),
     _xlpm.BagToPan,SUM(1 + N("This is how many bags per pan")),
     _xlpm.Buffer,SUM(1.25 + N("adds a buffer")),
ROUNDUP(_xlpm.Usage*_xlpm.BagToPan*_xlpm.Buffer, 0)&amp; " PANS")</f>
        <v>3 PANS</v>
      </c>
      <c r="P89" s="206"/>
      <c r="Q89" s="41"/>
      <c r="R89" s="41"/>
      <c r="S89" s="41"/>
      <c r="T89" s="41"/>
      <c r="U89" s="41"/>
      <c r="V89" s="41"/>
      <c r="W89" s="41"/>
      <c r="X89" s="41"/>
    </row>
    <row r="90" spans="1:24" ht="12.75" customHeight="1" x14ac:dyDescent="0.25">
      <c r="A90" s="13"/>
      <c r="B90" s="20"/>
      <c r="C90" s="45"/>
      <c r="D90" s="45"/>
      <c r="E90" s="45"/>
      <c r="F90" s="45"/>
      <c r="G90" s="45"/>
      <c r="H90" s="45"/>
      <c r="I90" s="45"/>
      <c r="J90" s="45"/>
      <c r="K90" s="45"/>
      <c r="L90" s="45"/>
      <c r="M90" s="45"/>
      <c r="N90" s="45"/>
      <c r="O90" s="46"/>
      <c r="P90" s="46"/>
      <c r="Q90" s="41"/>
      <c r="R90" s="41"/>
      <c r="S90" s="41"/>
      <c r="T90" s="41"/>
      <c r="U90" s="41"/>
      <c r="V90" s="41"/>
      <c r="W90" s="41"/>
      <c r="X90" s="41"/>
    </row>
    <row r="91" spans="1:24" ht="12.75" customHeight="1" x14ac:dyDescent="0.25">
      <c r="A91" s="13"/>
      <c r="B91" s="20"/>
      <c r="C91" s="2"/>
      <c r="D91" s="2"/>
      <c r="E91" s="2"/>
      <c r="F91" s="2"/>
      <c r="G91" s="2"/>
      <c r="H91" s="212" t="s">
        <v>12</v>
      </c>
      <c r="I91" s="212"/>
      <c r="J91" s="212"/>
      <c r="K91" s="212"/>
      <c r="L91" s="39"/>
      <c r="M91" s="2"/>
      <c r="N91" s="2"/>
      <c r="O91" s="47"/>
      <c r="P91" s="47"/>
    </row>
    <row r="92" spans="1:24" ht="12.75" customHeight="1" x14ac:dyDescent="0.25">
      <c r="A92" s="13"/>
      <c r="B92" s="45"/>
      <c r="C92" s="48"/>
      <c r="D92" s="41"/>
      <c r="E92" s="45"/>
      <c r="F92" s="45"/>
      <c r="G92" s="45"/>
      <c r="H92" s="189" t="s">
        <v>30</v>
      </c>
      <c r="I92" s="189"/>
      <c r="J92" s="189" t="s">
        <v>31</v>
      </c>
      <c r="K92" s="189"/>
      <c r="L92" s="40"/>
      <c r="M92" s="45"/>
      <c r="N92" s="45"/>
      <c r="O92" s="46"/>
      <c r="P92" s="46"/>
      <c r="Q92" s="41"/>
      <c r="R92" s="41"/>
      <c r="S92" s="41"/>
      <c r="T92" s="41"/>
      <c r="U92" s="41"/>
      <c r="V92" s="41"/>
      <c r="W92" s="41"/>
      <c r="X92" s="41"/>
    </row>
    <row r="93" spans="1:24" ht="12.75" customHeight="1" x14ac:dyDescent="0.25">
      <c r="A93" s="13"/>
      <c r="B93" s="2"/>
      <c r="C93" s="45"/>
      <c r="D93" s="45"/>
      <c r="E93" s="45"/>
      <c r="F93" s="45"/>
      <c r="G93" s="45"/>
      <c r="H93" s="204" t="s">
        <v>43</v>
      </c>
      <c r="I93" s="204"/>
      <c r="J93" s="180" t="str">
        <f t="array" ref="J93">_xlfn.LET(
     _xlpm.Usage,SUM(O41, + N("This is your daily usage in  grams")),
     _xlpm.TubToBottle,SUM(10 + N("This is how many bottles that can be made per tub, so 10 500g bottles from a 5KG tub")),
     _xlpm.Buffer,SUM(1.25 + N("adds a buffer")),
ROUNDUP(_xlpm.Usage*_xlpm.TubToBottle*_xlpm.Buffer, 0)&amp; " BOTTLES")</f>
        <v>15 BOTTLES</v>
      </c>
      <c r="K93" s="180"/>
      <c r="L93" s="42"/>
      <c r="M93" s="41"/>
      <c r="N93" s="41"/>
      <c r="O93" s="41"/>
      <c r="P93" s="41"/>
      <c r="Q93" s="41"/>
      <c r="R93" s="41"/>
      <c r="S93" s="41"/>
      <c r="T93" s="41"/>
      <c r="U93" s="41"/>
      <c r="V93" s="41"/>
      <c r="W93" s="41"/>
      <c r="X93" s="41"/>
    </row>
    <row r="94" spans="1:24" ht="12.75" customHeight="1" x14ac:dyDescent="0.25">
      <c r="A94" s="13"/>
      <c r="B94" s="48"/>
      <c r="C94" s="45"/>
      <c r="D94" s="45"/>
      <c r="E94" s="45"/>
      <c r="F94" s="45"/>
      <c r="G94" s="45"/>
      <c r="H94" s="209" t="s">
        <v>44</v>
      </c>
      <c r="I94" s="209"/>
      <c r="J94" s="210" t="str">
        <f t="array" ref="J94">_xlfn.LET(
     _xlpm.Usage,SUM(O42, + N("This is your daily usage in  grams")),
     _xlpm.BoxToBottle,SUM(20 + N("This is how many bottles that can be made per box, so 20 500g bottles from a 10KG box")),
     _xlpm.Buffer,SUM(1.25 + N("adds a buffer")),
ROUNDUP(_xlpm.Usage*_xlpm.BoxToBottle*_xlpm.Buffer, 0)&amp; " BOTTLES")</f>
        <v>10 BOTTLES</v>
      </c>
      <c r="K94" s="211"/>
      <c r="L94" s="42"/>
      <c r="M94" s="41"/>
      <c r="N94" s="41"/>
      <c r="O94" s="41"/>
      <c r="P94" s="41"/>
      <c r="Q94" s="41"/>
      <c r="R94" s="41"/>
      <c r="S94" s="41"/>
      <c r="T94" s="41"/>
      <c r="U94" s="41"/>
      <c r="V94" s="41"/>
      <c r="W94" s="41"/>
      <c r="X94" s="41"/>
    </row>
    <row r="95" spans="1:24" ht="12.75" customHeight="1" x14ac:dyDescent="0.25">
      <c r="A95" s="13"/>
      <c r="B95" s="45"/>
      <c r="C95" s="45"/>
      <c r="D95" s="45"/>
      <c r="E95" s="45"/>
      <c r="F95" s="45"/>
      <c r="G95" s="45"/>
      <c r="H95" s="209" t="s">
        <v>35</v>
      </c>
      <c r="I95" s="209"/>
      <c r="J95" s="210" t="str">
        <f t="array" ref="J95">_xlfn.LET(
     _xlpm.Usage,SUM(O43, + N("This is your daily usage in  grams")),
     _xlpm.BoxToBottle,SUM(20 + N("This is how many bottles that can be made per box, so 20 500g bottles from a 10KG box")),
     _xlpm.Buffer,SUM(1.25 + N("adds a buffer")),
ROUNDUP(_xlpm.Usage*_xlpm.BoxToBottle*_xlpm.Buffer, 0)&amp; " BOTTLES")</f>
        <v>5 BOTTLES</v>
      </c>
      <c r="K95" s="211"/>
      <c r="L95" s="42"/>
      <c r="M95" s="41"/>
      <c r="N95" s="41"/>
      <c r="O95" s="41"/>
      <c r="P95" s="41"/>
      <c r="Q95" s="41"/>
      <c r="R95" s="41"/>
      <c r="S95" s="41"/>
      <c r="T95" s="41"/>
      <c r="U95" s="41"/>
      <c r="V95" s="41"/>
      <c r="W95" s="41"/>
      <c r="X95" s="41"/>
    </row>
    <row r="96" spans="1:24" ht="12.75" customHeight="1" x14ac:dyDescent="0.25">
      <c r="A96" s="13"/>
      <c r="B96" s="45"/>
      <c r="C96" s="49"/>
      <c r="D96" s="49"/>
      <c r="E96" s="50"/>
      <c r="F96" s="50"/>
      <c r="G96" s="51"/>
      <c r="H96" s="209" t="s">
        <v>45</v>
      </c>
      <c r="I96" s="209"/>
      <c r="J96" s="210" t="str">
        <f t="array" ref="J96">_xlfn.LET(
     _xlpm.Usage,SUM(O44, + N("This is your daily usage in  grams")),
     _xlpm.BoxToBottle,SUM(20 + N("This is how many bottles that can be made per box, so 20 500g bottles from a 10KG box")),
     _xlpm.Buffer,SUM(1.25 + N("adds a buffer")),
ROUNDUP(_xlpm.Usage*_xlpm.BoxToBottle*_xlpm.Buffer, 0)&amp; " BOTTLES")</f>
        <v>3 BOTTLES</v>
      </c>
      <c r="K96" s="211"/>
      <c r="L96" s="43"/>
      <c r="M96" s="41"/>
      <c r="N96" s="41"/>
      <c r="O96" s="41"/>
      <c r="P96" s="41"/>
      <c r="Q96" s="41"/>
      <c r="R96" s="41"/>
      <c r="S96" s="41"/>
      <c r="T96" s="41"/>
      <c r="U96" s="41"/>
      <c r="V96" s="41"/>
      <c r="W96" s="41"/>
      <c r="X96" s="41"/>
    </row>
    <row r="97" spans="1:24" ht="12.75" customHeight="1" x14ac:dyDescent="0.25">
      <c r="A97" s="13"/>
      <c r="B97" s="45"/>
      <c r="H97" s="209" t="s">
        <v>46</v>
      </c>
      <c r="I97" s="209"/>
      <c r="J97" s="210" t="str">
        <f t="array" ref="J97">_xlfn.LET(
     _xlpm.Usage,SUM(O45, + N("This is your daily usage in  grams")),
     _xlpm.BoxToBottle,SUM(20 + N("This is how many bottles that can be made per box, so 20 500g bottles from a 10KG box")),
     _xlpm.Buffer,SUM(1.25 + N("adds a buffer")),
ROUNDUP(_xlpm.Usage*_xlpm.BoxToBottle*_xlpm.Buffer, 0)&amp; " BOTTLES")</f>
        <v>3 BOTTLES</v>
      </c>
      <c r="K97" s="211"/>
      <c r="O97" s="34"/>
      <c r="P97" s="34"/>
      <c r="Q97" s="41"/>
      <c r="R97" s="41"/>
      <c r="S97" s="41"/>
      <c r="T97" s="41"/>
      <c r="U97" s="41"/>
      <c r="V97" s="41"/>
      <c r="W97" s="41"/>
      <c r="X97" s="41"/>
    </row>
    <row r="98" spans="1:24" ht="12.75" customHeight="1" x14ac:dyDescent="0.25">
      <c r="A98" s="13"/>
      <c r="B98" s="20"/>
      <c r="C98" s="56"/>
      <c r="D98" s="56"/>
      <c r="E98" s="56"/>
      <c r="F98" s="56"/>
      <c r="G98" s="56"/>
      <c r="H98" s="209" t="s">
        <v>47</v>
      </c>
      <c r="I98" s="209"/>
      <c r="J98" s="210" t="str">
        <f t="array" ref="J98">_xlfn.LET(
     _xlpm.Usage,SUM(O46, + N("This is your daily usage in  grams")),
     _xlpm.BoxToBottle,SUM(20 + N("This is how many bottles that can be made per box, so 20 500g bottles from a 10KG box")),
     _xlpm.Buffer,SUM(1.25 + N("adds a buffer")),
ROUNDUP(_xlpm.Usage*_xlpm.BoxToBottle*_xlpm.Buffer, 0)&amp; " BOTTLES")</f>
        <v>6 BOTTLES</v>
      </c>
      <c r="K98" s="211"/>
      <c r="L98" s="56"/>
      <c r="M98" s="56"/>
      <c r="N98" s="56"/>
      <c r="O98" s="56"/>
      <c r="P98" s="56"/>
      <c r="Q98" s="41"/>
      <c r="R98" s="41"/>
      <c r="S98" s="41"/>
      <c r="T98" s="41"/>
      <c r="U98" s="41"/>
      <c r="V98" s="41"/>
      <c r="W98" s="41"/>
      <c r="X98" s="41"/>
    </row>
    <row r="99" spans="1:24" ht="12.75" customHeight="1" x14ac:dyDescent="0.25">
      <c r="A99" s="13"/>
      <c r="C99" s="56"/>
      <c r="D99" s="56"/>
      <c r="E99" s="56"/>
      <c r="F99" s="56"/>
      <c r="G99" s="56"/>
      <c r="H99" s="209" t="s">
        <v>48</v>
      </c>
      <c r="I99" s="209"/>
      <c r="J99" s="210" t="str">
        <f t="array" ref="J99">_xlfn.LET(
     _xlpm.Usage,SUM(O47, + N("This is your daily usage in  grams")),
     _xlpm.BoxToBottle,SUM(20 + N("This is how many bottles that can be made per box, so 20 500g bottles from a 10KG box")),
     _xlpm.Buffer,SUM(1.25 + N("adds a buffer")),
ROUNDUP(_xlpm.Usage*_xlpm.BoxToBottle*_xlpm.Buffer, 0)&amp; " BOTTLES")</f>
        <v>2 BOTTLES</v>
      </c>
      <c r="K99" s="211"/>
      <c r="L99" s="56"/>
      <c r="M99" s="56"/>
      <c r="N99" s="56"/>
      <c r="O99" s="56"/>
      <c r="P99" s="56"/>
      <c r="Q99" s="41"/>
      <c r="R99" s="41"/>
      <c r="S99" s="41"/>
      <c r="T99" s="41"/>
      <c r="U99" s="41"/>
      <c r="V99" s="41"/>
      <c r="W99" s="41"/>
      <c r="X99" s="41"/>
    </row>
    <row r="100" spans="1:24" ht="12.75" customHeight="1" x14ac:dyDescent="0.25">
      <c r="A100" s="13"/>
      <c r="H100" s="204" t="s">
        <v>49</v>
      </c>
      <c r="I100" s="204"/>
      <c r="J100" s="205" t="str">
        <f t="array" ref="J100">_xlfn.LET(
     _xlpm.Usage,SUM(O48, + N("This is your daily usage in KG")),
     _xlpm.BagToPan,SUM(1 + N("This is how many Pans that can be made per bag, so 1 1KG Pan per Bag")),
     _xlpm.Buffer,SUM(1.25 + N("adds a buffer")),
ROUNDUP(_xlpm.Usage*_xlpm.BagToPan*_xlpm.Buffer, 0)&amp; " PANS")</f>
        <v>4 PANS</v>
      </c>
      <c r="K100" s="206"/>
      <c r="O100" s="34"/>
      <c r="P100" s="34"/>
      <c r="Q100" s="41"/>
      <c r="R100" s="41"/>
      <c r="S100" s="41"/>
      <c r="T100" s="41"/>
      <c r="U100" s="41"/>
      <c r="V100" s="41"/>
      <c r="W100" s="41"/>
      <c r="X100" s="41"/>
    </row>
    <row r="101" spans="1:24" ht="12.75" customHeight="1" x14ac:dyDescent="0.25">
      <c r="A101" s="13"/>
      <c r="H101" s="204" t="s">
        <v>50</v>
      </c>
      <c r="I101" s="204"/>
      <c r="J101" s="205" t="str">
        <f t="array" ref="J101">_xlfn.LET(
     _xlpm.Usage,SUM(O49/1850, + N("This is your daily usage in grams, divided into bag sizes")),
     _xlpm.BagToPan,SUM(1 + N("This is how many bags per pan")),
     _xlpm.Buffer,SUM(1.25 + N("adds a buffer")),
ROUNDUP(_xlpm.Usage*_xlpm.BagToPan*_xlpm.Buffer, 0)&amp; " PANS")</f>
        <v>3 PANS</v>
      </c>
      <c r="K101" s="206"/>
      <c r="Q101" s="41"/>
      <c r="R101" s="41"/>
      <c r="S101" s="41"/>
      <c r="T101" s="41"/>
      <c r="U101" s="41"/>
      <c r="V101" s="41"/>
      <c r="W101" s="41"/>
      <c r="X101" s="41"/>
    </row>
    <row r="103" spans="1:24" ht="12.75" hidden="1" customHeight="1" x14ac:dyDescent="0.25">
      <c r="A103" s="13"/>
      <c r="B103" s="57" t="s">
        <v>5</v>
      </c>
      <c r="C103" s="207" t="s">
        <v>6</v>
      </c>
      <c r="D103" s="208"/>
      <c r="E103" s="195" t="s">
        <v>7</v>
      </c>
      <c r="F103" s="195"/>
      <c r="G103" s="195" t="s">
        <v>8</v>
      </c>
      <c r="H103" s="195"/>
      <c r="I103" s="195" t="s">
        <v>9</v>
      </c>
      <c r="J103" s="195"/>
      <c r="K103" s="195" t="s">
        <v>10</v>
      </c>
      <c r="L103" s="195"/>
      <c r="M103" s="207" t="s">
        <v>11</v>
      </c>
      <c r="N103" s="208"/>
      <c r="O103" s="195" t="s">
        <v>12</v>
      </c>
      <c r="P103" s="195"/>
      <c r="R103" s="15" t="s">
        <v>13</v>
      </c>
      <c r="T103" s="41"/>
      <c r="U103" s="41"/>
    </row>
    <row r="104" spans="1:24" ht="12.75" hidden="1" customHeight="1" x14ac:dyDescent="0.25">
      <c r="A104" s="13"/>
      <c r="B104" s="58" t="s">
        <v>51</v>
      </c>
      <c r="C104" s="200">
        <f t="array" ref="C104">INDEX('AC and RGM only'!$N$1:$T$150, MATCH(TRUE, ISNUMBER(SEARCH($B$104, 'AC and RGM only'!$L$1:$L$150)), 0), MATCH(TRUE, ISNUMBER(SEARCH(C$103, 'AC and RGM only'!$D$2:$J$2)), 0))</f>
        <v>0.49</v>
      </c>
      <c r="D104" s="200"/>
      <c r="E104" s="200">
        <f t="array" ref="E104">INDEX('AC and RGM only'!$N$1:$T$150, MATCH(TRUE, ISNUMBER(SEARCH($B$104, 'AC and RGM only'!$L$1:$L$150)), 0), MATCH(TRUE, ISNUMBER(SEARCH(E$103, 'AC and RGM only'!$D$2:$J$2)), 0))</f>
        <v>0.74</v>
      </c>
      <c r="F104" s="200"/>
      <c r="G104" s="200">
        <f t="array" ref="G104">INDEX('AC and RGM only'!$N$1:$T$150, MATCH(TRUE, ISNUMBER(SEARCH($B$104, 'AC and RGM only'!$L$1:$L$150)), 0), MATCH(TRUE, ISNUMBER(SEARCH(G$103, 'AC and RGM only'!$D$2:$J$2)), 0))</f>
        <v>0.63</v>
      </c>
      <c r="H104" s="200"/>
      <c r="I104" s="200">
        <f t="array" ref="I104">INDEX('AC and RGM only'!$N$1:$T$150, MATCH(TRUE, ISNUMBER(SEARCH($B$104, 'AC and RGM only'!$L$1:$L$150)), 0), MATCH(TRUE, ISNUMBER(SEARCH(I$103, 'AC and RGM only'!$D$2:$J$2)), 0))</f>
        <v>0.85</v>
      </c>
      <c r="J104" s="200"/>
      <c r="K104" s="200">
        <f t="array" ref="K104">INDEX('AC and RGM only'!$N$1:$T$150, MATCH(TRUE, ISNUMBER(SEARCH($B$104, 'AC and RGM only'!$L$1:$L$150)), 0), MATCH(TRUE, ISNUMBER(SEARCH(K$103, 'AC and RGM only'!$D$2:$J$2)), 0))</f>
        <v>1.51</v>
      </c>
      <c r="L104" s="200"/>
      <c r="M104" s="200">
        <f t="array" ref="M104">INDEX('AC and RGM only'!$N$1:$T$150, MATCH(TRUE, ISNUMBER(SEARCH($B$104, 'AC and RGM only'!$L$1:$L$150)), 0), MATCH(TRUE, ISNUMBER(SEARCH(M$103, 'AC and RGM only'!$D$2:$J$2)), 0))</f>
        <v>1.23</v>
      </c>
      <c r="N104" s="200"/>
      <c r="O104" s="200">
        <f t="array" ref="O104">INDEX('AC and RGM only'!$N$1:$T$150, MATCH(TRUE, ISNUMBER(SEARCH($B$104, 'AC and RGM only'!$L$1:$L$150)), 0), MATCH(TRUE, ISNUMBER(SEARCH(O$103, 'AC and RGM only'!$D$2:$J$2)), 0))</f>
        <v>1.26</v>
      </c>
      <c r="P104" s="200"/>
      <c r="R104" s="17">
        <f t="shared" ref="R104:R110" si="1">AVERAGE(C104:O104)</f>
        <v>0.95857142857142841</v>
      </c>
    </row>
    <row r="105" spans="1:24" ht="12.75" hidden="1" customHeight="1" x14ac:dyDescent="0.25">
      <c r="A105" s="13"/>
      <c r="B105" s="58" t="s">
        <v>52</v>
      </c>
      <c r="C105" s="200">
        <f t="array" ref="C105">INDEX('AC and RGM only'!$N$1:$T$150, MATCH(TRUE, ISNUMBER(SEARCH($B$105, 'AC and RGM only'!$L$1:$L$150)), 0), MATCH(TRUE, ISNUMBER(SEARCH(C$103, 'AC and RGM only'!$D$2:$J$2)), 0))</f>
        <v>0.59</v>
      </c>
      <c r="D105" s="200"/>
      <c r="E105" s="200">
        <f t="array" ref="E105">INDEX('AC and RGM only'!$N$1:$T$150, MATCH(TRUE, ISNUMBER(SEARCH($B$105, 'AC and RGM only'!$L$1:$L$150)), 0), MATCH(TRUE, ISNUMBER(SEARCH(E$103, 'AC and RGM only'!$D$2:$J$2)), 0))</f>
        <v>0.63</v>
      </c>
      <c r="F105" s="200"/>
      <c r="G105" s="200">
        <f t="array" ref="G105">INDEX('AC and RGM only'!$N$1:$T$150, MATCH(TRUE, ISNUMBER(SEARCH($B$105, 'AC and RGM only'!$L$1:$L$150)), 0), MATCH(TRUE, ISNUMBER(SEARCH(G$103, 'AC and RGM only'!$D$2:$J$2)), 0))</f>
        <v>0.8</v>
      </c>
      <c r="H105" s="200"/>
      <c r="I105" s="200">
        <f t="array" ref="I105">INDEX('AC and RGM only'!$N$1:$T$150, MATCH(TRUE, ISNUMBER(SEARCH($B$105, 'AC and RGM only'!$L$1:$L$150)), 0), MATCH(TRUE, ISNUMBER(SEARCH(I$103, 'AC and RGM only'!$D$2:$J$2)), 0))</f>
        <v>1.03</v>
      </c>
      <c r="J105" s="200"/>
      <c r="K105" s="200">
        <f t="array" ref="K105">INDEX('AC and RGM only'!$N$1:$T$150, MATCH(TRUE, ISNUMBER(SEARCH($B$105, 'AC and RGM only'!$L$1:$L$150)), 0), MATCH(TRUE, ISNUMBER(SEARCH(K$103, 'AC and RGM only'!$D$2:$J$2)), 0))</f>
        <v>1.33</v>
      </c>
      <c r="L105" s="200"/>
      <c r="M105" s="200">
        <f t="array" ref="M105">INDEX('AC and RGM only'!$N$1:$T$150, MATCH(TRUE, ISNUMBER(SEARCH($B$105, 'AC and RGM only'!$L$1:$L$150)), 0), MATCH(TRUE, ISNUMBER(SEARCH(M$103, 'AC and RGM only'!$D$2:$J$2)), 0))</f>
        <v>1.1499999999999999</v>
      </c>
      <c r="N105" s="200"/>
      <c r="O105" s="200">
        <f t="array" ref="O105">INDEX('AC and RGM only'!$N$1:$T$150, MATCH(TRUE, ISNUMBER(SEARCH($B$105, 'AC and RGM only'!$L$1:$L$150)), 0), MATCH(TRUE, ISNUMBER(SEARCH(O$103, 'AC and RGM only'!$D$2:$J$2)), 0))</f>
        <v>1.18</v>
      </c>
      <c r="P105" s="200"/>
      <c r="R105" s="17">
        <f t="shared" si="1"/>
        <v>0.95857142857142841</v>
      </c>
      <c r="T105" s="41"/>
      <c r="U105" s="41"/>
    </row>
    <row r="106" spans="1:24" ht="12.75" hidden="1" customHeight="1" x14ac:dyDescent="0.25">
      <c r="A106" s="13"/>
      <c r="B106" s="58" t="s">
        <v>53</v>
      </c>
      <c r="C106" s="200">
        <f t="array" ref="C106">INDEX('AC and RGM only'!$N$1:$T$150, MATCH(TRUE, ISNUMBER(SEARCH($B$106, 'AC and RGM only'!$L$1:$L$150)), 0), MATCH(TRUE, ISNUMBER(SEARCH(C$103, 'AC and RGM only'!$D$2:$J$2)), 0))</f>
        <v>0.14000000000000001</v>
      </c>
      <c r="D106" s="200"/>
      <c r="E106" s="200">
        <f t="array" ref="E106">INDEX('AC and RGM only'!$N$1:$T$150, MATCH(TRUE, ISNUMBER(SEARCH($B$106, 'AC and RGM only'!$L$1:$L$150)), 0), MATCH(TRUE, ISNUMBER(SEARCH(E$103, 'AC and RGM only'!$D$2:$J$2)), 0))</f>
        <v>0.15</v>
      </c>
      <c r="F106" s="200"/>
      <c r="G106" s="200">
        <f t="array" ref="G106">INDEX('AC and RGM only'!$N$1:$T$150, MATCH(TRUE, ISNUMBER(SEARCH($B$106, 'AC and RGM only'!$L$1:$L$150)), 0), MATCH(TRUE, ISNUMBER(SEARCH(G$103, 'AC and RGM only'!$D$2:$J$2)), 0))</f>
        <v>0.24</v>
      </c>
      <c r="H106" s="200"/>
      <c r="I106" s="200">
        <f t="array" ref="I106">INDEX('AC and RGM only'!$N$1:$T$150, MATCH(TRUE, ISNUMBER(SEARCH($B$106, 'AC and RGM only'!$L$1:$L$150)), 0), MATCH(TRUE, ISNUMBER(SEARCH(I$103, 'AC and RGM only'!$D$2:$J$2)), 0))</f>
        <v>0.2</v>
      </c>
      <c r="J106" s="200"/>
      <c r="K106" s="200">
        <f t="array" ref="K106">INDEX('AC and RGM only'!$N$1:$T$150, MATCH(TRUE, ISNUMBER(SEARCH($B$106, 'AC and RGM only'!$L$1:$L$150)), 0), MATCH(TRUE, ISNUMBER(SEARCH(K$103, 'AC and RGM only'!$D$2:$J$2)), 0))</f>
        <v>0.4</v>
      </c>
      <c r="L106" s="200"/>
      <c r="M106" s="200">
        <f t="array" ref="M106">INDEX('AC and RGM only'!$N$1:$T$150, MATCH(TRUE, ISNUMBER(SEARCH($B$106, 'AC and RGM only'!$L$1:$L$150)), 0), MATCH(TRUE, ISNUMBER(SEARCH(M$103, 'AC and RGM only'!$D$2:$J$2)), 0))</f>
        <v>0.28000000000000003</v>
      </c>
      <c r="N106" s="200"/>
      <c r="O106" s="200">
        <f t="array" ref="O106">INDEX('AC and RGM only'!$N$1:$T$150, MATCH(TRUE, ISNUMBER(SEARCH($B$106, 'AC and RGM only'!$L$1:$L$150)), 0), MATCH(TRUE, ISNUMBER(SEARCH(O$103, 'AC and RGM only'!$D$2:$J$2)), 0))</f>
        <v>0.35</v>
      </c>
      <c r="P106" s="200"/>
      <c r="R106" s="17">
        <f t="shared" si="1"/>
        <v>0.25142857142857139</v>
      </c>
      <c r="T106" s="41"/>
      <c r="U106" s="41"/>
    </row>
    <row r="107" spans="1:24" ht="12.75" hidden="1" customHeight="1" x14ac:dyDescent="0.25">
      <c r="A107" s="13"/>
      <c r="B107" s="58" t="s">
        <v>54</v>
      </c>
      <c r="C107" s="200">
        <f t="array" ref="C107">INDEX('AC and RGM only'!$N$1:$T$150, MATCH(TRUE, ISNUMBER(SEARCH($B$107, 'AC and RGM only'!$L$1:$L$150)), 0), MATCH(TRUE, ISNUMBER(SEARCH(C$103, 'AC and RGM only'!$D$2:$J$2)), 0))</f>
        <v>0.42</v>
      </c>
      <c r="D107" s="200"/>
      <c r="E107" s="200">
        <f t="array" ref="E107">INDEX('AC and RGM only'!$N$1:$T$150, MATCH(TRUE, ISNUMBER(SEARCH($B$107, 'AC and RGM only'!$L$1:$L$150)), 0), MATCH(TRUE, ISNUMBER(SEARCH(E$103, 'AC and RGM only'!$D$2:$J$2)), 0))</f>
        <v>0.55000000000000004</v>
      </c>
      <c r="F107" s="200"/>
      <c r="G107" s="200">
        <f t="array" ref="G107">INDEX('AC and RGM only'!$N$1:$T$150, MATCH(TRUE, ISNUMBER(SEARCH($B$107, 'AC and RGM only'!$L$1:$L$150)), 0), MATCH(TRUE, ISNUMBER(SEARCH(G$103, 'AC and RGM only'!$D$2:$J$2)), 0))</f>
        <v>0.54</v>
      </c>
      <c r="H107" s="200"/>
      <c r="I107" s="200">
        <f t="array" ref="I107">INDEX('AC and RGM only'!$N$1:$T$150, MATCH(TRUE, ISNUMBER(SEARCH($B$107, 'AC and RGM only'!$L$1:$L$150)), 0), MATCH(TRUE, ISNUMBER(SEARCH(I$103, 'AC and RGM only'!$D$2:$J$2)), 0))</f>
        <v>0.55000000000000004</v>
      </c>
      <c r="J107" s="200"/>
      <c r="K107" s="200">
        <f t="array" ref="K107">INDEX('AC and RGM only'!$N$1:$T$150, MATCH(TRUE, ISNUMBER(SEARCH($B$107, 'AC and RGM only'!$L$1:$L$150)), 0), MATCH(TRUE, ISNUMBER(SEARCH(K$103, 'AC and RGM only'!$D$2:$J$2)), 0))</f>
        <v>0.98</v>
      </c>
      <c r="L107" s="200"/>
      <c r="M107" s="200">
        <f t="array" ref="M107">INDEX('AC and RGM only'!$N$1:$T$150, MATCH(TRUE, ISNUMBER(SEARCH($B$107, 'AC and RGM only'!$L$1:$L$150)), 0), MATCH(TRUE, ISNUMBER(SEARCH(M$103, 'AC and RGM only'!$D$2:$J$2)), 0))</f>
        <v>0.69</v>
      </c>
      <c r="N107" s="200"/>
      <c r="O107" s="200">
        <f t="array" ref="O107">INDEX('AC and RGM only'!$N$1:$T$150, MATCH(TRUE, ISNUMBER(SEARCH($B$107, 'AC and RGM only'!$L$1:$L$150)), 0), MATCH(TRUE, ISNUMBER(SEARCH(O$103, 'AC and RGM only'!$D$2:$J$2)), 0))</f>
        <v>0.8</v>
      </c>
      <c r="P107" s="200"/>
      <c r="R107" s="17">
        <f t="shared" si="1"/>
        <v>0.64714285714285713</v>
      </c>
      <c r="T107" s="41"/>
      <c r="U107" s="41"/>
    </row>
    <row r="108" spans="1:24" ht="12.75" hidden="1" customHeight="1" x14ac:dyDescent="0.25">
      <c r="A108" s="13"/>
      <c r="B108" s="58" t="s">
        <v>55</v>
      </c>
      <c r="C108" s="200">
        <f t="array" ref="C108">INDEX('AC and RGM only'!$N$1:$T$150, MATCH(TRUE, ISNUMBER(SEARCH($B$108, 'AC and RGM only'!$L$1:$L$150)), 0), MATCH(TRUE, ISNUMBER(SEARCH(C$103, 'AC and RGM only'!$D$2:$J$2)), 0))</f>
        <v>0.41</v>
      </c>
      <c r="D108" s="200"/>
      <c r="E108" s="200">
        <f t="array" ref="E108">INDEX('AC and RGM only'!$N$1:$T$150, MATCH(TRUE, ISNUMBER(SEARCH($B$108, 'AC and RGM only'!$L$1:$L$150)), 0), MATCH(TRUE, ISNUMBER(SEARCH(E$103, 'AC and RGM only'!$D$2:$J$2)), 0))</f>
        <v>0.51</v>
      </c>
      <c r="F108" s="200"/>
      <c r="G108" s="200">
        <f t="array" ref="G108">INDEX('AC and RGM only'!$N$1:$T$150, MATCH(TRUE, ISNUMBER(SEARCH($B$108, 'AC and RGM only'!$L$1:$L$150)), 0), MATCH(TRUE, ISNUMBER(SEARCH(G$103, 'AC and RGM only'!$D$2:$J$2)), 0))</f>
        <v>0.56000000000000005</v>
      </c>
      <c r="H108" s="200"/>
      <c r="I108" s="200">
        <f t="array" ref="I108">INDEX('AC and RGM only'!$N$1:$T$150, MATCH(TRUE, ISNUMBER(SEARCH($B$108, 'AC and RGM only'!$L$1:$L$150)), 0), MATCH(TRUE, ISNUMBER(SEARCH(I$103, 'AC and RGM only'!$D$2:$J$2)), 0))</f>
        <v>0.7</v>
      </c>
      <c r="J108" s="200"/>
      <c r="K108" s="200">
        <f t="array" ref="K108">INDEX('AC and RGM only'!$N$1:$T$150, MATCH(TRUE, ISNUMBER(SEARCH($B$108, 'AC and RGM only'!$L$1:$L$150)), 0), MATCH(TRUE, ISNUMBER(SEARCH(K$103, 'AC and RGM only'!$D$2:$J$2)), 0))</f>
        <v>1.05</v>
      </c>
      <c r="L108" s="200"/>
      <c r="M108" s="200">
        <f t="array" ref="M108">INDEX('AC and RGM only'!$N$1:$T$150, MATCH(TRUE, ISNUMBER(SEARCH($B$108, 'AC and RGM only'!$L$1:$L$150)), 0), MATCH(TRUE, ISNUMBER(SEARCH(M$103, 'AC and RGM only'!$D$2:$J$2)), 0))</f>
        <v>0.94</v>
      </c>
      <c r="N108" s="200"/>
      <c r="O108" s="200">
        <f t="array" ref="O108">INDEX('AC and RGM only'!$N$1:$T$150, MATCH(TRUE, ISNUMBER(SEARCH($B$108, 'AC and RGM only'!$L$1:$L$150)), 0), MATCH(TRUE, ISNUMBER(SEARCH(O$103, 'AC and RGM only'!$D$2:$J$2)), 0))</f>
        <v>0.85</v>
      </c>
      <c r="P108" s="200"/>
      <c r="R108" s="17">
        <f t="shared" si="1"/>
        <v>0.71714285714285708</v>
      </c>
      <c r="T108" s="41"/>
      <c r="U108" s="41"/>
    </row>
    <row r="109" spans="1:24" ht="12.75" hidden="1" customHeight="1" x14ac:dyDescent="0.25">
      <c r="A109" s="13"/>
      <c r="B109" s="58" t="s">
        <v>56</v>
      </c>
      <c r="C109" s="200">
        <f t="array" ref="C109">INDEX('AC and RGM only'!$N$1:$T$150, MATCH(TRUE, ISNUMBER(SEARCH($B$109, 'AC and RGM only'!$L$1:$L$150)), 0), MATCH(TRUE, ISNUMBER(SEARCH(C$103, 'AC and RGM only'!$D$2:$J$2)), 0))</f>
        <v>0.34</v>
      </c>
      <c r="D109" s="200"/>
      <c r="E109" s="200">
        <f t="array" ref="E109">INDEX('AC and RGM only'!$N$1:$T$150, MATCH(TRUE, ISNUMBER(SEARCH($B$109, 'AC and RGM only'!$L$1:$L$150)), 0), MATCH(TRUE, ISNUMBER(SEARCH(E$103, 'AC and RGM only'!$D$2:$J$2)), 0))</f>
        <v>0.48</v>
      </c>
      <c r="F109" s="200"/>
      <c r="G109" s="200">
        <f t="array" ref="G109">INDEX('AC and RGM only'!$N$1:$T$150, MATCH(TRUE, ISNUMBER(SEARCH($B$109, 'AC and RGM only'!$L$1:$L$150)), 0), MATCH(TRUE, ISNUMBER(SEARCH(G$103, 'AC and RGM only'!$D$2:$J$2)), 0))</f>
        <v>0.37</v>
      </c>
      <c r="H109" s="200"/>
      <c r="I109" s="200">
        <f t="array" ref="I109">INDEX('AC and RGM only'!$N$1:$T$150, MATCH(TRUE, ISNUMBER(SEARCH($B$109, 'AC and RGM only'!$L$1:$L$150)), 0), MATCH(TRUE, ISNUMBER(SEARCH(I$103, 'AC and RGM only'!$D$2:$J$2)), 0))</f>
        <v>0.51</v>
      </c>
      <c r="J109" s="200"/>
      <c r="K109" s="200">
        <f t="array" ref="K109">INDEX('AC and RGM only'!$N$1:$T$150, MATCH(TRUE, ISNUMBER(SEARCH($B$109, 'AC and RGM only'!$L$1:$L$150)), 0), MATCH(TRUE, ISNUMBER(SEARCH(K$103, 'AC and RGM only'!$D$2:$J$2)), 0))</f>
        <v>0.93</v>
      </c>
      <c r="L109" s="200"/>
      <c r="M109" s="200">
        <f t="array" ref="M109">INDEX('AC and RGM only'!$N$1:$T$150, MATCH(TRUE, ISNUMBER(SEARCH($B$109, 'AC and RGM only'!$L$1:$L$150)), 0), MATCH(TRUE, ISNUMBER(SEARCH(M$103, 'AC and RGM only'!$D$2:$J$2)), 0))</f>
        <v>0.99</v>
      </c>
      <c r="N109" s="200"/>
      <c r="O109" s="200">
        <f t="array" ref="O109">INDEX('AC and RGM only'!$N$1:$T$150, MATCH(TRUE, ISNUMBER(SEARCH($B$109, 'AC and RGM only'!$L$1:$L$150)), 0), MATCH(TRUE, ISNUMBER(SEARCH(O$103, 'AC and RGM only'!$D$2:$J$2)), 0))</f>
        <v>1</v>
      </c>
      <c r="P109" s="200"/>
      <c r="R109" s="17">
        <f t="shared" si="1"/>
        <v>0.66</v>
      </c>
      <c r="T109" s="41"/>
      <c r="U109" s="41"/>
    </row>
    <row r="110" spans="1:24" ht="12.75" hidden="1" customHeight="1" x14ac:dyDescent="0.25">
      <c r="A110" s="13"/>
      <c r="B110" s="58" t="s">
        <v>57</v>
      </c>
      <c r="C110" s="200">
        <f t="array" ref="C110">INDEX('AC and RGM only'!$N3:$T152, MATCH(TRUE, ISNUMBER(SEARCH($B$110, 'AC and RGM only'!$L3:$L152)), 0), MATCH(TRUE, ISNUMBER(SEARCH(C$103, 'AC and RGM only'!$D$2:$J$2)), 0))</f>
        <v>0.94</v>
      </c>
      <c r="D110" s="200"/>
      <c r="E110" s="200">
        <f t="array" ref="E110">INDEX('AC and RGM only'!$N3:$T152, MATCH(TRUE, ISNUMBER(SEARCH($B$110, 'AC and RGM only'!$L3:$L152)), 0), MATCH(TRUE, ISNUMBER(SEARCH(E$103, 'AC and RGM only'!$D$2:$J$2)), 0))</f>
        <v>1.1399999999999999</v>
      </c>
      <c r="F110" s="200"/>
      <c r="G110" s="200">
        <f t="array" ref="G110">INDEX('AC and RGM only'!$N3:$T152, MATCH(TRUE, ISNUMBER(SEARCH($B$110, 'AC and RGM only'!$L3:$L152)), 0), MATCH(TRUE, ISNUMBER(SEARCH(G$103, 'AC and RGM only'!$D$2:$J$2)), 0))</f>
        <v>1.23</v>
      </c>
      <c r="H110" s="200"/>
      <c r="I110" s="200">
        <f t="array" ref="I110">INDEX('AC and RGM only'!$N3:$T152, MATCH(TRUE, ISNUMBER(SEARCH($B$110, 'AC and RGM only'!$L3:$L152)), 0), MATCH(TRUE, ISNUMBER(SEARCH(I$103, 'AC and RGM only'!$D$2:$J$2)), 0))</f>
        <v>1.47</v>
      </c>
      <c r="J110" s="200"/>
      <c r="K110" s="200">
        <f t="array" ref="K110">INDEX('AC and RGM only'!$N3:$T152, MATCH(TRUE, ISNUMBER(SEARCH($B$110, 'AC and RGM only'!$L3:$L152)), 0), MATCH(TRUE, ISNUMBER(SEARCH(K$103, 'AC and RGM only'!$D$2:$J$2)), 0))</f>
        <v>2.2799999999999998</v>
      </c>
      <c r="L110" s="200"/>
      <c r="M110" s="200">
        <f t="array" ref="M110">INDEX('AC and RGM only'!$N3:$T152, MATCH(TRUE, ISNUMBER(SEARCH($B$110, 'AC and RGM only'!$L3:$L152)), 0), MATCH(TRUE, ISNUMBER(SEARCH(M$103, 'AC and RGM only'!$D$2:$J$2)), 0))</f>
        <v>2.08</v>
      </c>
      <c r="N110" s="200"/>
      <c r="O110" s="200">
        <f t="array" ref="O110">INDEX('AC and RGM only'!$N3:$T152, MATCH(TRUE, ISNUMBER(SEARCH($B$110, 'AC and RGM only'!$L3:$L152)), 0), MATCH(TRUE, ISNUMBER(SEARCH(O$103, 'AC and RGM only'!$D$2:$J$2)), 0))</f>
        <v>1.97</v>
      </c>
      <c r="P110" s="200"/>
      <c r="R110" s="17">
        <f t="shared" si="1"/>
        <v>1.5871428571428574</v>
      </c>
    </row>
    <row r="111" spans="1:24" ht="12.75" hidden="1" customHeight="1" x14ac:dyDescent="0.25">
      <c r="A111" s="13"/>
      <c r="B111" s="20"/>
      <c r="C111" s="19"/>
      <c r="D111" s="19"/>
      <c r="E111" s="19"/>
      <c r="F111" s="19"/>
      <c r="G111" s="19"/>
      <c r="H111" s="19"/>
      <c r="I111" s="19"/>
      <c r="J111" s="19"/>
      <c r="K111" s="19"/>
      <c r="L111" s="19"/>
      <c r="M111" s="19"/>
      <c r="N111" s="19"/>
      <c r="O111" s="19"/>
      <c r="P111" s="19"/>
      <c r="R111" s="19"/>
    </row>
    <row r="112" spans="1:24" ht="12.75" customHeight="1" x14ac:dyDescent="0.25">
      <c r="A112" s="20"/>
      <c r="B112" s="20"/>
      <c r="C112" s="35"/>
      <c r="D112" s="35"/>
      <c r="E112" s="201" t="s">
        <v>58</v>
      </c>
      <c r="F112" s="201"/>
      <c r="G112" s="201"/>
      <c r="H112" s="201"/>
      <c r="I112" s="201"/>
      <c r="J112" s="201"/>
      <c r="K112" s="201"/>
      <c r="L112" s="201"/>
      <c r="M112" s="201"/>
      <c r="N112" s="201"/>
      <c r="O112" s="202" t="s">
        <v>29</v>
      </c>
      <c r="P112" s="202"/>
      <c r="R112" s="1"/>
    </row>
    <row r="113" spans="1:18" ht="12.75" customHeight="1" x14ac:dyDescent="0.25">
      <c r="A113" s="20"/>
      <c r="C113" s="35"/>
      <c r="D113" s="35"/>
      <c r="E113" s="201"/>
      <c r="F113" s="201"/>
      <c r="G113" s="201"/>
      <c r="H113" s="201"/>
      <c r="I113" s="201"/>
      <c r="J113" s="201"/>
      <c r="K113" s="201"/>
      <c r="L113" s="201"/>
      <c r="M113" s="201"/>
      <c r="N113" s="201"/>
      <c r="O113" s="203" t="str">
        <f>TRIM(RIGHT(SUBSTITUTE('AC and RGM only'!D2,CHAR(10),REPT(" ",100)),100)) &amp; " to " &amp; TRIM(RIGHT(SUBSTITUTE('AC and RGM only'!J2,CHAR(10),REPT(" ",100)),100))</f>
        <v>14-May-26 to 20-May-26</v>
      </c>
      <c r="P113" s="203"/>
      <c r="R113" s="1"/>
    </row>
    <row r="114" spans="1:18" ht="12.75" customHeight="1" x14ac:dyDescent="0.25">
      <c r="A114" s="20"/>
      <c r="C114" s="2"/>
      <c r="D114" s="36"/>
      <c r="E114" s="36"/>
      <c r="F114" s="36"/>
      <c r="G114" s="36"/>
      <c r="H114" s="36"/>
      <c r="I114" s="36"/>
      <c r="J114" s="36"/>
      <c r="K114" s="36"/>
      <c r="L114" s="36"/>
      <c r="M114" s="36"/>
      <c r="N114" s="36"/>
      <c r="O114" s="37"/>
      <c r="P114" s="37"/>
      <c r="R114" s="1"/>
    </row>
    <row r="115" spans="1:18" ht="12.75" customHeight="1" x14ac:dyDescent="0.25">
      <c r="A115" s="20"/>
      <c r="C115" s="186" t="s">
        <v>6</v>
      </c>
      <c r="D115" s="186"/>
      <c r="E115" s="186"/>
      <c r="F115" s="187"/>
      <c r="G115" s="39"/>
      <c r="H115" s="186" t="s">
        <v>7</v>
      </c>
      <c r="I115" s="186"/>
      <c r="J115" s="186"/>
      <c r="K115" s="187"/>
      <c r="L115" s="39"/>
      <c r="M115" s="195" t="s">
        <v>8</v>
      </c>
      <c r="N115" s="195"/>
      <c r="O115" s="195"/>
      <c r="P115" s="195"/>
      <c r="R115" s="1"/>
    </row>
    <row r="116" spans="1:18" ht="12.75" customHeight="1" x14ac:dyDescent="0.25">
      <c r="A116" s="20"/>
      <c r="B116" s="2"/>
      <c r="C116" s="188" t="s">
        <v>30</v>
      </c>
      <c r="D116" s="188"/>
      <c r="E116" s="189" t="s">
        <v>31</v>
      </c>
      <c r="F116" s="189"/>
      <c r="G116" s="40"/>
      <c r="H116" s="188" t="s">
        <v>30</v>
      </c>
      <c r="I116" s="188"/>
      <c r="J116" s="189" t="s">
        <v>31</v>
      </c>
      <c r="K116" s="189"/>
      <c r="L116" s="40"/>
      <c r="M116" s="188" t="s">
        <v>30</v>
      </c>
      <c r="N116" s="188"/>
      <c r="O116" s="188" t="s">
        <v>31</v>
      </c>
      <c r="P116" s="188"/>
      <c r="R116" s="1"/>
    </row>
    <row r="117" spans="1:18" ht="12.75" customHeight="1" x14ac:dyDescent="0.25">
      <c r="A117" s="13"/>
      <c r="B117" s="20"/>
      <c r="C117" s="179" t="s">
        <v>59</v>
      </c>
      <c r="D117" s="179"/>
      <c r="E117" s="197" t="str">
        <f t="shared" ref="E117:E122" si="2">SUM(C104:H104) &amp; " BOXES"</f>
        <v>1.86 BOXES</v>
      </c>
      <c r="F117" s="191"/>
      <c r="G117" s="40"/>
      <c r="H117" s="179" t="s">
        <v>59</v>
      </c>
      <c r="I117" s="179"/>
      <c r="J117" s="190" t="str">
        <f t="shared" ref="J117:J122" si="3">SUM(E104:J104) &amp; " BOXES"</f>
        <v>2.22 BOXES</v>
      </c>
      <c r="K117" s="191"/>
      <c r="L117" s="40"/>
      <c r="M117" s="179" t="s">
        <v>59</v>
      </c>
      <c r="N117" s="179"/>
      <c r="O117" s="192" t="str">
        <f t="shared" ref="O117:O122" si="4">SUM(G104:L104) &amp; " BOXES"</f>
        <v>2.99 BOXES</v>
      </c>
      <c r="P117" s="192"/>
    </row>
    <row r="118" spans="1:18" ht="12.75" customHeight="1" x14ac:dyDescent="0.25">
      <c r="A118" s="13"/>
      <c r="B118" s="20"/>
      <c r="C118" s="179" t="s">
        <v>60</v>
      </c>
      <c r="D118" s="179"/>
      <c r="E118" s="197" t="str">
        <f t="shared" si="2"/>
        <v>2.02 BOXES</v>
      </c>
      <c r="F118" s="191"/>
      <c r="G118" s="40"/>
      <c r="H118" s="179" t="s">
        <v>60</v>
      </c>
      <c r="I118" s="179"/>
      <c r="J118" s="190" t="str">
        <f t="shared" si="3"/>
        <v>2.46 BOXES</v>
      </c>
      <c r="K118" s="191"/>
      <c r="L118" s="40"/>
      <c r="M118" s="179" t="s">
        <v>60</v>
      </c>
      <c r="N118" s="179"/>
      <c r="O118" s="192" t="str">
        <f t="shared" si="4"/>
        <v>3.16 BOXES</v>
      </c>
      <c r="P118" s="192"/>
    </row>
    <row r="119" spans="1:18" ht="12.75" customHeight="1" x14ac:dyDescent="0.25">
      <c r="A119" s="13"/>
      <c r="B119" s="20"/>
      <c r="C119" s="179" t="s">
        <v>61</v>
      </c>
      <c r="D119" s="179"/>
      <c r="E119" s="197" t="str">
        <f t="shared" si="2"/>
        <v>0.53 BOXES</v>
      </c>
      <c r="F119" s="191"/>
      <c r="G119" s="40"/>
      <c r="H119" s="179" t="s">
        <v>61</v>
      </c>
      <c r="I119" s="179"/>
      <c r="J119" s="190" t="str">
        <f t="shared" si="3"/>
        <v>0.59 BOXES</v>
      </c>
      <c r="K119" s="191"/>
      <c r="L119" s="40"/>
      <c r="M119" s="179" t="s">
        <v>61</v>
      </c>
      <c r="N119" s="179"/>
      <c r="O119" s="192" t="str">
        <f t="shared" si="4"/>
        <v>0.84 BOXES</v>
      </c>
      <c r="P119" s="192"/>
    </row>
    <row r="120" spans="1:18" ht="12.75" customHeight="1" x14ac:dyDescent="0.25">
      <c r="A120" s="13"/>
      <c r="B120" s="20"/>
      <c r="C120" s="181" t="s">
        <v>62</v>
      </c>
      <c r="D120" s="182"/>
      <c r="E120" s="197" t="str">
        <f t="shared" si="2"/>
        <v>1.51 BOXES</v>
      </c>
      <c r="F120" s="191"/>
      <c r="G120" s="40"/>
      <c r="H120" s="181" t="s">
        <v>62</v>
      </c>
      <c r="I120" s="182"/>
      <c r="J120" s="190" t="str">
        <f t="shared" si="3"/>
        <v>1.64 BOXES</v>
      </c>
      <c r="K120" s="191"/>
      <c r="L120" s="40"/>
      <c r="M120" s="181" t="s">
        <v>62</v>
      </c>
      <c r="N120" s="182"/>
      <c r="O120" s="192" t="str">
        <f t="shared" si="4"/>
        <v>2.07 BOXES</v>
      </c>
      <c r="P120" s="192"/>
    </row>
    <row r="121" spans="1:18" ht="12.75" customHeight="1" x14ac:dyDescent="0.25">
      <c r="A121" s="13"/>
      <c r="B121" s="20"/>
      <c r="C121" s="183" t="s">
        <v>21</v>
      </c>
      <c r="D121" s="184"/>
      <c r="E121" s="197" t="str">
        <f t="shared" si="2"/>
        <v>1.48 BOXES</v>
      </c>
      <c r="F121" s="191"/>
      <c r="G121" s="40"/>
      <c r="H121" s="183" t="s">
        <v>21</v>
      </c>
      <c r="I121" s="184"/>
      <c r="J121" s="190" t="str">
        <f t="shared" si="3"/>
        <v>1.77 BOXES</v>
      </c>
      <c r="K121" s="191"/>
      <c r="L121" s="40"/>
      <c r="M121" s="183" t="s">
        <v>21</v>
      </c>
      <c r="N121" s="184"/>
      <c r="O121" s="192" t="str">
        <f t="shared" si="4"/>
        <v>2.31 BOXES</v>
      </c>
      <c r="P121" s="192"/>
    </row>
    <row r="122" spans="1:18" ht="12.75" customHeight="1" x14ac:dyDescent="0.25">
      <c r="A122" s="13"/>
      <c r="B122" s="20"/>
      <c r="C122" s="183" t="s">
        <v>24</v>
      </c>
      <c r="D122" s="184"/>
      <c r="E122" s="198" t="str">
        <f t="shared" si="2"/>
        <v>1.19 BOXES</v>
      </c>
      <c r="F122" s="193"/>
      <c r="G122" s="42"/>
      <c r="H122" s="183" t="s">
        <v>24</v>
      </c>
      <c r="I122" s="184"/>
      <c r="J122" s="194" t="str">
        <f t="shared" si="3"/>
        <v>1.36 BOXES</v>
      </c>
      <c r="K122" s="193"/>
      <c r="L122" s="42"/>
      <c r="M122" s="183" t="s">
        <v>24</v>
      </c>
      <c r="N122" s="184"/>
      <c r="O122" s="199" t="str">
        <f t="shared" si="4"/>
        <v>1.81 BOXES</v>
      </c>
      <c r="P122" s="199"/>
      <c r="Q122" s="13"/>
    </row>
    <row r="123" spans="1:18" ht="12.75" customHeight="1" x14ac:dyDescent="0.25">
      <c r="B123" s="20"/>
      <c r="C123" s="181" t="s">
        <v>57</v>
      </c>
      <c r="D123" s="182"/>
      <c r="E123" s="60" t="str">
        <f>ROUND(SUM(E110+G110+I110/2),1) &amp; " BOXES"</f>
        <v>3.1 BOXES</v>
      </c>
      <c r="F123" s="59" t="str">
        <f>ROUND(SUM(E110+G110+I110/2)*8,0) &amp; " BAGS"</f>
        <v>25 BAGS</v>
      </c>
      <c r="G123" s="42"/>
      <c r="H123" s="181" t="s">
        <v>57</v>
      </c>
      <c r="I123" s="182"/>
      <c r="J123" s="59" t="str">
        <f>ROUND(SUM(G110+I110+K110/2),1)&amp;" BOXES"</f>
        <v>3.8 BOXES</v>
      </c>
      <c r="K123" s="59" t="str">
        <f>ROUND(SUM(G110+I110+K110/2)*8,0) &amp; " BAGS"</f>
        <v>31 BAGS</v>
      </c>
      <c r="L123" s="42"/>
      <c r="M123" s="181" t="s">
        <v>57</v>
      </c>
      <c r="N123" s="182"/>
      <c r="O123" s="59" t="str">
        <f>ROUND(SUM(I110+K110+M110/2),1) &amp; " BOXES"</f>
        <v>4.8 BOXES</v>
      </c>
      <c r="P123" s="59" t="str">
        <f>ROUND(SUM(I110+K110+M110/2)*8,0) &amp; " BAGS"</f>
        <v>38 BAGS</v>
      </c>
    </row>
    <row r="124" spans="1:18" ht="12.75" customHeight="1" x14ac:dyDescent="0.25">
      <c r="B124" s="20"/>
      <c r="C124" s="44"/>
      <c r="D124" s="44"/>
      <c r="E124" s="44"/>
      <c r="F124" s="45"/>
      <c r="G124" s="45"/>
      <c r="H124" s="45"/>
      <c r="I124" s="45"/>
      <c r="J124" s="45"/>
      <c r="K124" s="45"/>
      <c r="L124" s="45"/>
      <c r="M124" s="45"/>
      <c r="N124" s="45"/>
      <c r="O124" s="46"/>
      <c r="P124" s="46"/>
    </row>
    <row r="125" spans="1:18" ht="12.75" customHeight="1" x14ac:dyDescent="0.25">
      <c r="A125" s="196"/>
      <c r="B125" s="20"/>
      <c r="C125" s="186" t="s">
        <v>9</v>
      </c>
      <c r="D125" s="186"/>
      <c r="E125" s="186"/>
      <c r="F125" s="187"/>
      <c r="G125" s="39"/>
      <c r="H125" s="186" t="s">
        <v>10</v>
      </c>
      <c r="I125" s="186"/>
      <c r="J125" s="186"/>
      <c r="K125" s="187"/>
      <c r="L125" s="39"/>
      <c r="M125" s="195" t="s">
        <v>11</v>
      </c>
      <c r="N125" s="195"/>
      <c r="O125" s="195"/>
      <c r="P125" s="195"/>
    </row>
    <row r="126" spans="1:18" ht="12.75" customHeight="1" x14ac:dyDescent="0.25">
      <c r="A126" s="196"/>
      <c r="B126" s="44"/>
      <c r="C126" s="188" t="s">
        <v>30</v>
      </c>
      <c r="D126" s="188"/>
      <c r="E126" s="189" t="s">
        <v>31</v>
      </c>
      <c r="F126" s="189"/>
      <c r="G126" s="40"/>
      <c r="H126" s="188" t="s">
        <v>30</v>
      </c>
      <c r="I126" s="188"/>
      <c r="J126" s="189" t="s">
        <v>31</v>
      </c>
      <c r="K126" s="189"/>
      <c r="L126" s="40"/>
      <c r="M126" s="188" t="s">
        <v>30</v>
      </c>
      <c r="N126" s="188"/>
      <c r="O126" s="188" t="s">
        <v>31</v>
      </c>
      <c r="P126" s="188"/>
      <c r="Q126" s="41"/>
      <c r="R126" s="41"/>
    </row>
    <row r="127" spans="1:18" ht="12.75" customHeight="1" x14ac:dyDescent="0.25">
      <c r="A127" s="196"/>
      <c r="B127" s="20"/>
      <c r="C127" s="179" t="s">
        <v>59</v>
      </c>
      <c r="D127" s="179"/>
      <c r="E127" s="190" t="str">
        <f t="shared" ref="E127:E132" si="5">SUM(I104:N104) &amp; " BOXES"</f>
        <v>3.59 BOXES</v>
      </c>
      <c r="F127" s="191"/>
      <c r="G127" s="55"/>
      <c r="H127" s="179" t="s">
        <v>59</v>
      </c>
      <c r="I127" s="179"/>
      <c r="J127" s="190" t="str">
        <f t="shared" ref="J127:J132" si="6">SUM(K104:P104) &amp; " BOXES"</f>
        <v>4 BOXES</v>
      </c>
      <c r="K127" s="191"/>
      <c r="L127" s="55"/>
      <c r="M127" s="179" t="s">
        <v>59</v>
      </c>
      <c r="N127" s="179"/>
      <c r="O127" s="192" t="str">
        <f t="array" ref="O127">SUM(M104:P104+C104) &amp; " BOXES"</f>
        <v>4.45 BOXES</v>
      </c>
      <c r="P127" s="192"/>
      <c r="Q127" s="41"/>
      <c r="R127" s="41"/>
    </row>
    <row r="128" spans="1:18" ht="12.75" customHeight="1" x14ac:dyDescent="0.25">
      <c r="A128" s="196"/>
      <c r="B128" s="20"/>
      <c r="C128" s="179" t="s">
        <v>60</v>
      </c>
      <c r="D128" s="179"/>
      <c r="E128" s="190" t="str">
        <f t="shared" si="5"/>
        <v>3.51 BOXES</v>
      </c>
      <c r="F128" s="191"/>
      <c r="G128" s="55"/>
      <c r="H128" s="179" t="s">
        <v>60</v>
      </c>
      <c r="I128" s="179"/>
      <c r="J128" s="190" t="str">
        <f t="shared" si="6"/>
        <v>3.66 BOXES</v>
      </c>
      <c r="K128" s="191"/>
      <c r="L128" s="55"/>
      <c r="M128" s="179" t="s">
        <v>60</v>
      </c>
      <c r="N128" s="179"/>
      <c r="O128" s="192" t="str">
        <f t="array" ref="O128">SUM(M105:P105+C105) &amp; " BOXES"</f>
        <v>4.69 BOXES</v>
      </c>
      <c r="P128" s="192"/>
      <c r="Q128" s="41"/>
      <c r="R128" s="41"/>
    </row>
    <row r="129" spans="1:18" ht="12.75" customHeight="1" x14ac:dyDescent="0.25">
      <c r="A129" s="196"/>
      <c r="B129" s="20"/>
      <c r="C129" s="179" t="s">
        <v>61</v>
      </c>
      <c r="D129" s="179"/>
      <c r="E129" s="190" t="str">
        <f t="shared" si="5"/>
        <v>0.88 BOXES</v>
      </c>
      <c r="F129" s="191"/>
      <c r="G129" s="55"/>
      <c r="H129" s="179" t="s">
        <v>61</v>
      </c>
      <c r="I129" s="179"/>
      <c r="J129" s="190" t="str">
        <f t="shared" si="6"/>
        <v>1.03 BOXES</v>
      </c>
      <c r="K129" s="191"/>
      <c r="L129" s="55"/>
      <c r="M129" s="179" t="s">
        <v>61</v>
      </c>
      <c r="N129" s="179"/>
      <c r="O129" s="192" t="str">
        <f t="array" ref="O129">SUM(M106:P106+C106) &amp; " BOXES"</f>
        <v>1.19 BOXES</v>
      </c>
      <c r="P129" s="192"/>
      <c r="Q129" s="41"/>
      <c r="R129" s="41"/>
    </row>
    <row r="130" spans="1:18" ht="12.75" customHeight="1" x14ac:dyDescent="0.25">
      <c r="A130" s="196"/>
      <c r="B130" s="20"/>
      <c r="C130" s="181" t="s">
        <v>62</v>
      </c>
      <c r="D130" s="182"/>
      <c r="E130" s="190" t="str">
        <f t="shared" si="5"/>
        <v>2.22 BOXES</v>
      </c>
      <c r="F130" s="191"/>
      <c r="G130" s="55"/>
      <c r="H130" s="181" t="s">
        <v>62</v>
      </c>
      <c r="I130" s="182"/>
      <c r="J130" s="190" t="str">
        <f t="shared" si="6"/>
        <v>2.47 BOXES</v>
      </c>
      <c r="K130" s="191"/>
      <c r="L130" s="55"/>
      <c r="M130" s="181" t="s">
        <v>62</v>
      </c>
      <c r="N130" s="182"/>
      <c r="O130" s="192" t="str">
        <f t="array" ref="O130">SUM(M107:P107+C107) &amp; " BOXES"</f>
        <v>3.17 BOXES</v>
      </c>
      <c r="P130" s="192"/>
      <c r="Q130" s="41"/>
      <c r="R130" s="41"/>
    </row>
    <row r="131" spans="1:18" ht="12.75" customHeight="1" x14ac:dyDescent="0.25">
      <c r="A131" s="196"/>
      <c r="B131" s="20"/>
      <c r="C131" s="183" t="s">
        <v>21</v>
      </c>
      <c r="D131" s="184"/>
      <c r="E131" s="190" t="str">
        <f t="shared" si="5"/>
        <v>2.69 BOXES</v>
      </c>
      <c r="F131" s="191"/>
      <c r="G131" s="55"/>
      <c r="H131" s="183" t="s">
        <v>21</v>
      </c>
      <c r="I131" s="184"/>
      <c r="J131" s="190" t="str">
        <f t="shared" si="6"/>
        <v>2.84 BOXES</v>
      </c>
      <c r="K131" s="191"/>
      <c r="L131" s="55"/>
      <c r="M131" s="183" t="s">
        <v>21</v>
      </c>
      <c r="N131" s="184"/>
      <c r="O131" s="192" t="str">
        <f t="array" ref="O131">SUM(M108:P108+C108) &amp; " BOXES"</f>
        <v>3.43 BOXES</v>
      </c>
      <c r="P131" s="192"/>
      <c r="Q131" s="41"/>
      <c r="R131" s="41"/>
    </row>
    <row r="132" spans="1:18" ht="12.75" customHeight="1" x14ac:dyDescent="0.25">
      <c r="A132" s="196"/>
      <c r="B132" s="20"/>
      <c r="C132" s="183" t="s">
        <v>24</v>
      </c>
      <c r="D132" s="184"/>
      <c r="E132" s="190" t="str">
        <f t="shared" si="5"/>
        <v>2.43 BOXES</v>
      </c>
      <c r="F132" s="193"/>
      <c r="G132" s="42"/>
      <c r="H132" s="183" t="s">
        <v>24</v>
      </c>
      <c r="I132" s="184"/>
      <c r="J132" s="194" t="str">
        <f t="shared" si="6"/>
        <v>2.92 BOXES</v>
      </c>
      <c r="K132" s="193"/>
      <c r="L132" s="42"/>
      <c r="M132" s="183" t="s">
        <v>24</v>
      </c>
      <c r="N132" s="184"/>
      <c r="O132" s="192" t="str">
        <f t="array" ref="O132">SUM(M109:P109+C109) &amp; " BOXES"</f>
        <v>3.35 BOXES</v>
      </c>
      <c r="P132" s="192"/>
      <c r="Q132" s="41"/>
      <c r="R132" s="41"/>
    </row>
    <row r="133" spans="1:18" ht="12.75" customHeight="1" x14ac:dyDescent="0.25">
      <c r="A133" s="196"/>
      <c r="B133" s="20"/>
      <c r="C133" s="181" t="s">
        <v>57</v>
      </c>
      <c r="D133" s="182"/>
      <c r="E133" s="54" t="str">
        <f>ROUND(SUM(K110+M110+O110/2),1) &amp; " BOXES"</f>
        <v>5.3 BOXES</v>
      </c>
      <c r="F133" s="59" t="str">
        <f>ROUND(SUM(K110+M110+O110/2)*8,0) &amp; " BAGS"</f>
        <v>43 BAGS</v>
      </c>
      <c r="G133" s="42"/>
      <c r="H133" s="181" t="s">
        <v>57</v>
      </c>
      <c r="I133" s="182"/>
      <c r="J133" s="59" t="str">
        <f>ROUND(SUM(M110+O110+C110/2),1) &amp; " BOXES"</f>
        <v>4.5 BOXES</v>
      </c>
      <c r="K133" s="59" t="str">
        <f>ROUND(SUM(M110+O110+C110/2)*8,0) &amp; " BAGS"</f>
        <v>36 BAGS</v>
      </c>
      <c r="L133" s="42"/>
      <c r="M133" s="181" t="s">
        <v>57</v>
      </c>
      <c r="N133" s="182"/>
      <c r="O133" s="59" t="str">
        <f>ROUND(SUM(O110+C110+E110/2),1) &amp; " BOXES"</f>
        <v>3.5 BOXES</v>
      </c>
      <c r="P133" s="59" t="str">
        <f>ROUND(SUM(O110+C110+E110/2)*8,0) &amp; " BAGS"</f>
        <v>28 BAGS</v>
      </c>
      <c r="Q133" s="41"/>
      <c r="R133" s="41"/>
    </row>
    <row r="134" spans="1:18" ht="12.75" customHeight="1" x14ac:dyDescent="0.25">
      <c r="A134" s="196"/>
      <c r="B134" s="20"/>
      <c r="C134" s="45"/>
      <c r="D134" s="45"/>
      <c r="E134" s="45"/>
      <c r="F134" s="45"/>
      <c r="G134" s="45"/>
      <c r="H134" s="45"/>
      <c r="I134" s="45"/>
      <c r="J134" s="45"/>
      <c r="K134" s="45"/>
      <c r="L134" s="45"/>
      <c r="M134" s="45"/>
      <c r="N134" s="45"/>
      <c r="O134" s="46"/>
      <c r="P134" s="46"/>
      <c r="Q134" s="41"/>
      <c r="R134" s="41"/>
    </row>
    <row r="135" spans="1:18" ht="12.75" customHeight="1" x14ac:dyDescent="0.25">
      <c r="A135" s="196"/>
      <c r="B135" s="20"/>
      <c r="C135" s="2"/>
      <c r="D135" s="2"/>
      <c r="E135" s="2"/>
      <c r="F135" s="2"/>
      <c r="G135" s="2"/>
      <c r="H135" s="186" t="s">
        <v>12</v>
      </c>
      <c r="I135" s="186"/>
      <c r="J135" s="186"/>
      <c r="K135" s="187"/>
      <c r="L135" s="39"/>
      <c r="M135" s="2"/>
      <c r="N135" s="2"/>
      <c r="O135" s="47"/>
      <c r="P135" s="47"/>
    </row>
    <row r="136" spans="1:18" ht="12.75" customHeight="1" x14ac:dyDescent="0.25">
      <c r="A136" s="196"/>
      <c r="B136" s="45"/>
      <c r="C136" s="48"/>
      <c r="D136" s="41"/>
      <c r="E136" s="45"/>
      <c r="F136" s="45"/>
      <c r="G136" s="45"/>
      <c r="H136" s="188" t="s">
        <v>30</v>
      </c>
      <c r="I136" s="188"/>
      <c r="J136" s="189" t="s">
        <v>31</v>
      </c>
      <c r="K136" s="189"/>
      <c r="L136" s="40"/>
      <c r="M136" s="45"/>
      <c r="N136" s="45"/>
      <c r="O136" s="46"/>
      <c r="P136" s="46"/>
      <c r="Q136" s="41"/>
      <c r="R136" s="41"/>
    </row>
    <row r="137" spans="1:18" ht="12.75" customHeight="1" x14ac:dyDescent="0.25">
      <c r="A137" s="196"/>
      <c r="B137" s="2"/>
      <c r="C137" s="45"/>
      <c r="D137" s="45"/>
      <c r="E137" s="45"/>
      <c r="F137" s="45"/>
      <c r="G137" s="45"/>
      <c r="H137" s="179" t="s">
        <v>59</v>
      </c>
      <c r="I137" s="179"/>
      <c r="J137" s="180" t="str">
        <f t="array" ref="J137">SUM(O104+C104:F104) &amp; " BOXES"</f>
        <v>6.27 BOXES</v>
      </c>
      <c r="K137" s="180"/>
      <c r="L137" s="42"/>
      <c r="M137" s="41"/>
      <c r="N137" s="41"/>
      <c r="O137" s="41"/>
      <c r="P137" s="41"/>
      <c r="Q137" s="41"/>
      <c r="R137" s="41"/>
    </row>
    <row r="138" spans="1:18" ht="12.75" customHeight="1" x14ac:dyDescent="0.25">
      <c r="A138" s="196"/>
      <c r="B138" s="48"/>
      <c r="C138" s="45"/>
      <c r="D138" s="45"/>
      <c r="E138" s="45"/>
      <c r="F138" s="45"/>
      <c r="G138" s="45"/>
      <c r="H138" s="179" t="s">
        <v>60</v>
      </c>
      <c r="I138" s="179"/>
      <c r="J138" s="180" t="str">
        <f t="array" ref="J138">SUM(O105+C105:F105) &amp; " BOXES"</f>
        <v>5.94 BOXES</v>
      </c>
      <c r="K138" s="180"/>
      <c r="L138" s="42"/>
      <c r="M138" s="41"/>
      <c r="N138" s="41"/>
      <c r="O138" s="41"/>
      <c r="P138" s="41"/>
      <c r="Q138" s="41"/>
      <c r="R138" s="41"/>
    </row>
    <row r="139" spans="1:18" ht="12.75" customHeight="1" x14ac:dyDescent="0.25">
      <c r="A139" s="196"/>
      <c r="B139" s="45"/>
      <c r="C139" s="45"/>
      <c r="D139" s="45"/>
      <c r="E139" s="45"/>
      <c r="F139" s="45"/>
      <c r="G139" s="45"/>
      <c r="H139" s="179" t="s">
        <v>61</v>
      </c>
      <c r="I139" s="179"/>
      <c r="J139" s="180" t="str">
        <f t="array" ref="J139">SUM(O106+C106:F106) &amp; " BOXES"</f>
        <v>1.69 BOXES</v>
      </c>
      <c r="K139" s="180"/>
      <c r="L139" s="42"/>
      <c r="M139" s="41"/>
      <c r="N139" s="41"/>
      <c r="O139" s="41"/>
      <c r="P139" s="41"/>
      <c r="Q139" s="41"/>
      <c r="R139" s="41"/>
    </row>
    <row r="140" spans="1:18" ht="12.75" customHeight="1" x14ac:dyDescent="0.25">
      <c r="A140" s="196"/>
      <c r="B140" s="45"/>
      <c r="C140" s="49"/>
      <c r="D140" s="49"/>
      <c r="E140" s="50"/>
      <c r="F140" s="50"/>
      <c r="G140" s="51"/>
      <c r="H140" s="181" t="s">
        <v>62</v>
      </c>
      <c r="I140" s="182"/>
      <c r="J140" s="180" t="str">
        <f t="array" ref="J140">SUM(O107+C107:F107) &amp; " BOXES"</f>
        <v>4.17 BOXES</v>
      </c>
      <c r="K140" s="180"/>
      <c r="L140" s="43"/>
      <c r="M140" s="41"/>
      <c r="N140" s="41"/>
      <c r="O140" s="41"/>
      <c r="P140" s="41"/>
      <c r="Q140" s="41"/>
      <c r="R140" s="41"/>
    </row>
    <row r="141" spans="1:18" ht="12.75" customHeight="1" x14ac:dyDescent="0.25">
      <c r="A141" s="196"/>
      <c r="B141" s="45"/>
      <c r="H141" s="183" t="s">
        <v>21</v>
      </c>
      <c r="I141" s="184"/>
      <c r="J141" s="180" t="str">
        <f t="array" ref="J141">SUM(O108+C108:F108) &amp; " BOXES"</f>
        <v>4.32 BOXES</v>
      </c>
      <c r="K141" s="180"/>
      <c r="O141" s="34"/>
      <c r="P141" s="34"/>
      <c r="Q141" s="41"/>
      <c r="R141" s="41"/>
    </row>
    <row r="142" spans="1:18" ht="12.75" customHeight="1" x14ac:dyDescent="0.25">
      <c r="A142" s="196"/>
      <c r="B142" s="20"/>
      <c r="C142" s="56"/>
      <c r="D142" s="56"/>
      <c r="E142" s="56"/>
      <c r="F142" s="56"/>
      <c r="G142" s="56"/>
      <c r="H142" s="183" t="s">
        <v>24</v>
      </c>
      <c r="I142" s="184"/>
      <c r="J142" s="185" t="str">
        <f t="array" ref="J142">SUM(O109+C109:F109) &amp; " BOXES"</f>
        <v>4.82 BOXES</v>
      </c>
      <c r="K142" s="185"/>
      <c r="L142" s="56"/>
      <c r="M142" s="56"/>
      <c r="N142" s="56"/>
      <c r="O142" s="56"/>
      <c r="P142" s="56"/>
      <c r="Q142" s="41"/>
      <c r="R142" s="41"/>
    </row>
    <row r="143" spans="1:18" ht="12.75" customHeight="1" x14ac:dyDescent="0.25">
      <c r="A143" s="196"/>
      <c r="C143" s="56"/>
      <c r="D143" s="56"/>
      <c r="E143" s="56"/>
      <c r="F143" s="56"/>
      <c r="G143" s="56"/>
      <c r="H143" s="181" t="s">
        <v>57</v>
      </c>
      <c r="I143" s="182"/>
      <c r="J143" s="61" t="str">
        <f>ROUND(SUM(C110+E110+G110/2),1) &amp; " BOXES"</f>
        <v>2.7 BOXES</v>
      </c>
      <c r="K143" s="61" t="str">
        <f>ROUND(SUM(C110+E110+G110/2)*8,0) &amp; " BAGS"</f>
        <v>22 BAGS</v>
      </c>
      <c r="L143" s="56"/>
      <c r="M143" s="56"/>
      <c r="N143" s="56"/>
      <c r="O143" s="56"/>
      <c r="P143" s="56"/>
      <c r="Q143" s="41"/>
      <c r="R143" s="41"/>
    </row>
    <row r="144" spans="1:18" ht="12.75" customHeight="1" x14ac:dyDescent="0.25">
      <c r="A144" s="196"/>
      <c r="Q144" s="41"/>
      <c r="R144" s="41"/>
    </row>
    <row r="145" spans="1:18" ht="12.75" customHeight="1" x14ac:dyDescent="0.25">
      <c r="A145" s="196"/>
    </row>
    <row r="146" spans="1:18" ht="12.75" customHeight="1" x14ac:dyDescent="0.25">
      <c r="A146" s="196"/>
      <c r="Q146" s="41"/>
      <c r="R146" s="41"/>
    </row>
    <row r="147" spans="1:18" ht="12.75" customHeight="1" x14ac:dyDescent="0.25">
      <c r="A147" s="196"/>
      <c r="Q147" s="41"/>
      <c r="R147" s="41"/>
    </row>
    <row r="148" spans="1:18" ht="12.75" customHeight="1" x14ac:dyDescent="0.25">
      <c r="A148" s="196"/>
      <c r="Q148" s="41"/>
      <c r="R148" s="41"/>
    </row>
    <row r="149" spans="1:18" ht="12.75" customHeight="1" x14ac:dyDescent="0.25">
      <c r="A149" s="196"/>
      <c r="Q149" s="41"/>
      <c r="R149" s="41"/>
    </row>
    <row r="150" spans="1:18" ht="12.75" customHeight="1" x14ac:dyDescent="0.25">
      <c r="A150" s="196"/>
      <c r="Q150" s="41"/>
      <c r="R150" s="41"/>
    </row>
  </sheetData>
  <mergeCells count="514">
    <mergeCell ref="C1:D1"/>
    <mergeCell ref="E1:F1"/>
    <mergeCell ref="G1:H1"/>
    <mergeCell ref="I1:J1"/>
    <mergeCell ref="K1:L1"/>
    <mergeCell ref="M1:N1"/>
    <mergeCell ref="O1:P1"/>
    <mergeCell ref="C2:D2"/>
    <mergeCell ref="E2:F2"/>
    <mergeCell ref="G2:H2"/>
    <mergeCell ref="I2:J2"/>
    <mergeCell ref="K2:L2"/>
    <mergeCell ref="M2:N2"/>
    <mergeCell ref="O2:P2"/>
    <mergeCell ref="C3:D3"/>
    <mergeCell ref="E3:F3"/>
    <mergeCell ref="G3:H3"/>
    <mergeCell ref="I3:J3"/>
    <mergeCell ref="K3:L3"/>
    <mergeCell ref="M3:N3"/>
    <mergeCell ref="O3:P3"/>
    <mergeCell ref="C4:D4"/>
    <mergeCell ref="E4:F4"/>
    <mergeCell ref="G4:H4"/>
    <mergeCell ref="I4:J4"/>
    <mergeCell ref="K4:L4"/>
    <mergeCell ref="M4:N4"/>
    <mergeCell ref="O4:P4"/>
    <mergeCell ref="C5:D5"/>
    <mergeCell ref="E5:F5"/>
    <mergeCell ref="G5:H5"/>
    <mergeCell ref="I5:J5"/>
    <mergeCell ref="K5:L5"/>
    <mergeCell ref="M5:N5"/>
    <mergeCell ref="O5:P5"/>
    <mergeCell ref="R7:T7"/>
    <mergeCell ref="S8:T8"/>
    <mergeCell ref="S9:T9"/>
    <mergeCell ref="E14:N15"/>
    <mergeCell ref="O14:P14"/>
    <mergeCell ref="O15:P15"/>
    <mergeCell ref="C17:F17"/>
    <mergeCell ref="H17:K17"/>
    <mergeCell ref="M17:P17"/>
    <mergeCell ref="A17:A36"/>
    <mergeCell ref="C18:D18"/>
    <mergeCell ref="E18:F18"/>
    <mergeCell ref="H18:I18"/>
    <mergeCell ref="J18:K18"/>
    <mergeCell ref="M18:N18"/>
    <mergeCell ref="O18:P18"/>
    <mergeCell ref="C19:D19"/>
    <mergeCell ref="E19:F19"/>
    <mergeCell ref="H19:I19"/>
    <mergeCell ref="J19:K19"/>
    <mergeCell ref="M19:N19"/>
    <mergeCell ref="O19:P19"/>
    <mergeCell ref="C20:D20"/>
    <mergeCell ref="E20:F20"/>
    <mergeCell ref="H20:I20"/>
    <mergeCell ref="J20:K20"/>
    <mergeCell ref="M20:N20"/>
    <mergeCell ref="O20:P20"/>
    <mergeCell ref="C21:D21"/>
    <mergeCell ref="E21:F21"/>
    <mergeCell ref="H21:I21"/>
    <mergeCell ref="J21:K21"/>
    <mergeCell ref="M21:N21"/>
    <mergeCell ref="O21:P21"/>
    <mergeCell ref="C22:D22"/>
    <mergeCell ref="E22:F22"/>
    <mergeCell ref="H22:I22"/>
    <mergeCell ref="J22:K22"/>
    <mergeCell ref="M22:N22"/>
    <mergeCell ref="O22:P22"/>
    <mergeCell ref="C24:F24"/>
    <mergeCell ref="H24:K24"/>
    <mergeCell ref="M24:P24"/>
    <mergeCell ref="C25:D25"/>
    <mergeCell ref="E25:F25"/>
    <mergeCell ref="H25:I25"/>
    <mergeCell ref="J25:K25"/>
    <mergeCell ref="M25:N25"/>
    <mergeCell ref="O25:P25"/>
    <mergeCell ref="C26:D26"/>
    <mergeCell ref="E26:F26"/>
    <mergeCell ref="H26:I26"/>
    <mergeCell ref="J26:K26"/>
    <mergeCell ref="M26:N26"/>
    <mergeCell ref="O26:P26"/>
    <mergeCell ref="C27:D27"/>
    <mergeCell ref="E27:F27"/>
    <mergeCell ref="H27:I27"/>
    <mergeCell ref="J27:K27"/>
    <mergeCell ref="M27:N27"/>
    <mergeCell ref="O27:P27"/>
    <mergeCell ref="C28:D28"/>
    <mergeCell ref="E28:F28"/>
    <mergeCell ref="H28:I28"/>
    <mergeCell ref="J28:K28"/>
    <mergeCell ref="M28:N28"/>
    <mergeCell ref="O28:P28"/>
    <mergeCell ref="C29:D29"/>
    <mergeCell ref="E29:F29"/>
    <mergeCell ref="H29:I29"/>
    <mergeCell ref="J29:K29"/>
    <mergeCell ref="M29:N29"/>
    <mergeCell ref="O29:P29"/>
    <mergeCell ref="H31:K31"/>
    <mergeCell ref="H32:I32"/>
    <mergeCell ref="J32:K32"/>
    <mergeCell ref="H33:I33"/>
    <mergeCell ref="J33:K33"/>
    <mergeCell ref="H34:I34"/>
    <mergeCell ref="J34:K34"/>
    <mergeCell ref="H35:I35"/>
    <mergeCell ref="J35:K35"/>
    <mergeCell ref="C36:D36"/>
    <mergeCell ref="E36:F36"/>
    <mergeCell ref="H36:I36"/>
    <mergeCell ref="J36:K36"/>
    <mergeCell ref="C38:P39"/>
    <mergeCell ref="C40:D40"/>
    <mergeCell ref="E40:F40"/>
    <mergeCell ref="G40:H40"/>
    <mergeCell ref="I40:J40"/>
    <mergeCell ref="K40:L40"/>
    <mergeCell ref="M40:N40"/>
    <mergeCell ref="O40:P40"/>
    <mergeCell ref="C41:D41"/>
    <mergeCell ref="E41:F41"/>
    <mergeCell ref="G41:H41"/>
    <mergeCell ref="I41:J41"/>
    <mergeCell ref="K41:L41"/>
    <mergeCell ref="M41:N41"/>
    <mergeCell ref="O41:P41"/>
    <mergeCell ref="C42:D42"/>
    <mergeCell ref="E42:F42"/>
    <mergeCell ref="G42:H42"/>
    <mergeCell ref="I42:J42"/>
    <mergeCell ref="K42:L42"/>
    <mergeCell ref="M42:N42"/>
    <mergeCell ref="O42:P42"/>
    <mergeCell ref="C43:D43"/>
    <mergeCell ref="E43:F43"/>
    <mergeCell ref="G43:H43"/>
    <mergeCell ref="I43:J43"/>
    <mergeCell ref="K43:L43"/>
    <mergeCell ref="M43:N43"/>
    <mergeCell ref="O43:P43"/>
    <mergeCell ref="C44:D44"/>
    <mergeCell ref="E44:F44"/>
    <mergeCell ref="G44:H44"/>
    <mergeCell ref="I44:J44"/>
    <mergeCell ref="K44:L44"/>
    <mergeCell ref="M44:N44"/>
    <mergeCell ref="O44:P44"/>
    <mergeCell ref="C45:D45"/>
    <mergeCell ref="E45:F45"/>
    <mergeCell ref="G45:H45"/>
    <mergeCell ref="I45:J45"/>
    <mergeCell ref="K45:L45"/>
    <mergeCell ref="M45:N45"/>
    <mergeCell ref="O45:P45"/>
    <mergeCell ref="C46:D46"/>
    <mergeCell ref="E46:F46"/>
    <mergeCell ref="G46:H46"/>
    <mergeCell ref="I46:J46"/>
    <mergeCell ref="K46:L46"/>
    <mergeCell ref="M46:N46"/>
    <mergeCell ref="O46:P46"/>
    <mergeCell ref="C47:D47"/>
    <mergeCell ref="E47:F47"/>
    <mergeCell ref="G47:H47"/>
    <mergeCell ref="I47:J47"/>
    <mergeCell ref="K47:L47"/>
    <mergeCell ref="M47:N47"/>
    <mergeCell ref="O47:P47"/>
    <mergeCell ref="C48:D48"/>
    <mergeCell ref="E48:F48"/>
    <mergeCell ref="G48:H48"/>
    <mergeCell ref="I48:J48"/>
    <mergeCell ref="K48:L48"/>
    <mergeCell ref="M48:N48"/>
    <mergeCell ref="O48:P48"/>
    <mergeCell ref="C49:D49"/>
    <mergeCell ref="E49:F49"/>
    <mergeCell ref="G49:H49"/>
    <mergeCell ref="I49:J49"/>
    <mergeCell ref="K49:L49"/>
    <mergeCell ref="M49:N49"/>
    <mergeCell ref="O49:P49"/>
    <mergeCell ref="E64:N65"/>
    <mergeCell ref="O64:P64"/>
    <mergeCell ref="O65:P65"/>
    <mergeCell ref="C67:F67"/>
    <mergeCell ref="H67:K67"/>
    <mergeCell ref="M67:P67"/>
    <mergeCell ref="C68:D68"/>
    <mergeCell ref="E68:F68"/>
    <mergeCell ref="H68:I68"/>
    <mergeCell ref="J68:K68"/>
    <mergeCell ref="M68:N68"/>
    <mergeCell ref="O68:P68"/>
    <mergeCell ref="C69:D69"/>
    <mergeCell ref="E69:F69"/>
    <mergeCell ref="H69:I69"/>
    <mergeCell ref="J69:K69"/>
    <mergeCell ref="M69:N69"/>
    <mergeCell ref="O69:P69"/>
    <mergeCell ref="C70:D70"/>
    <mergeCell ref="E70:F70"/>
    <mergeCell ref="H70:I70"/>
    <mergeCell ref="J70:K70"/>
    <mergeCell ref="M70:N70"/>
    <mergeCell ref="O70:P70"/>
    <mergeCell ref="C71:D71"/>
    <mergeCell ref="E71:F71"/>
    <mergeCell ref="H71:I71"/>
    <mergeCell ref="J71:K71"/>
    <mergeCell ref="M71:N71"/>
    <mergeCell ref="O71:P71"/>
    <mergeCell ref="C72:D72"/>
    <mergeCell ref="E72:F72"/>
    <mergeCell ref="H72:I72"/>
    <mergeCell ref="J72:K72"/>
    <mergeCell ref="M72:N72"/>
    <mergeCell ref="O72:P72"/>
    <mergeCell ref="C73:D73"/>
    <mergeCell ref="E73:F73"/>
    <mergeCell ref="H73:I73"/>
    <mergeCell ref="J73:K73"/>
    <mergeCell ref="M73:N73"/>
    <mergeCell ref="O73:P73"/>
    <mergeCell ref="C74:D74"/>
    <mergeCell ref="E74:F74"/>
    <mergeCell ref="H74:I74"/>
    <mergeCell ref="J74:K74"/>
    <mergeCell ref="M74:N74"/>
    <mergeCell ref="O74:P74"/>
    <mergeCell ref="C75:D75"/>
    <mergeCell ref="E75:F75"/>
    <mergeCell ref="H75:I75"/>
    <mergeCell ref="J75:K75"/>
    <mergeCell ref="M75:N75"/>
    <mergeCell ref="O75:P75"/>
    <mergeCell ref="C76:D76"/>
    <mergeCell ref="E76:F76"/>
    <mergeCell ref="H76:I76"/>
    <mergeCell ref="J76:K76"/>
    <mergeCell ref="M76:N76"/>
    <mergeCell ref="O76:P76"/>
    <mergeCell ref="C77:D77"/>
    <mergeCell ref="E77:F77"/>
    <mergeCell ref="H77:I77"/>
    <mergeCell ref="J77:K77"/>
    <mergeCell ref="M77:N77"/>
    <mergeCell ref="O77:P77"/>
    <mergeCell ref="C79:F79"/>
    <mergeCell ref="H79:K79"/>
    <mergeCell ref="M79:P79"/>
    <mergeCell ref="C80:D80"/>
    <mergeCell ref="E80:F80"/>
    <mergeCell ref="H80:I80"/>
    <mergeCell ref="J80:K80"/>
    <mergeCell ref="M80:N80"/>
    <mergeCell ref="O80:P80"/>
    <mergeCell ref="C81:D81"/>
    <mergeCell ref="E81:F81"/>
    <mergeCell ref="H81:I81"/>
    <mergeCell ref="J81:K81"/>
    <mergeCell ref="M81:N81"/>
    <mergeCell ref="O81:P81"/>
    <mergeCell ref="C82:D82"/>
    <mergeCell ref="E82:F82"/>
    <mergeCell ref="H82:I82"/>
    <mergeCell ref="J82:K82"/>
    <mergeCell ref="M82:N82"/>
    <mergeCell ref="O82:P82"/>
    <mergeCell ref="C83:D83"/>
    <mergeCell ref="E83:F83"/>
    <mergeCell ref="H83:I83"/>
    <mergeCell ref="J83:K83"/>
    <mergeCell ref="M83:N83"/>
    <mergeCell ref="O83:P83"/>
    <mergeCell ref="C84:D84"/>
    <mergeCell ref="E84:F84"/>
    <mergeCell ref="H84:I84"/>
    <mergeCell ref="J84:K84"/>
    <mergeCell ref="M84:N84"/>
    <mergeCell ref="O84:P84"/>
    <mergeCell ref="C85:D85"/>
    <mergeCell ref="E85:F85"/>
    <mergeCell ref="H85:I85"/>
    <mergeCell ref="J85:K85"/>
    <mergeCell ref="M85:N85"/>
    <mergeCell ref="O85:P85"/>
    <mergeCell ref="C86:D86"/>
    <mergeCell ref="E86:F86"/>
    <mergeCell ref="H86:I86"/>
    <mergeCell ref="J86:K86"/>
    <mergeCell ref="M86:N86"/>
    <mergeCell ref="O86:P86"/>
    <mergeCell ref="C87:D87"/>
    <mergeCell ref="E87:F87"/>
    <mergeCell ref="H87:I87"/>
    <mergeCell ref="J87:K87"/>
    <mergeCell ref="M87:N87"/>
    <mergeCell ref="O87:P87"/>
    <mergeCell ref="C88:D88"/>
    <mergeCell ref="E88:F88"/>
    <mergeCell ref="H88:I88"/>
    <mergeCell ref="J88:K88"/>
    <mergeCell ref="M88:N88"/>
    <mergeCell ref="O88:P88"/>
    <mergeCell ref="C89:D89"/>
    <mergeCell ref="E89:F89"/>
    <mergeCell ref="H89:I89"/>
    <mergeCell ref="J89:K89"/>
    <mergeCell ref="M89:N89"/>
    <mergeCell ref="O89:P89"/>
    <mergeCell ref="H91:K91"/>
    <mergeCell ref="H92:I92"/>
    <mergeCell ref="J92:K92"/>
    <mergeCell ref="H93:I93"/>
    <mergeCell ref="J93:K93"/>
    <mergeCell ref="H94:I94"/>
    <mergeCell ref="J94:K94"/>
    <mergeCell ref="H95:I95"/>
    <mergeCell ref="J95:K95"/>
    <mergeCell ref="H96:I96"/>
    <mergeCell ref="J96:K96"/>
    <mergeCell ref="H97:I97"/>
    <mergeCell ref="J97:K97"/>
    <mergeCell ref="H98:I98"/>
    <mergeCell ref="J98:K98"/>
    <mergeCell ref="H99:I99"/>
    <mergeCell ref="J99:K99"/>
    <mergeCell ref="H100:I100"/>
    <mergeCell ref="J100:K100"/>
    <mergeCell ref="H101:I101"/>
    <mergeCell ref="J101:K101"/>
    <mergeCell ref="C103:D103"/>
    <mergeCell ref="E103:F103"/>
    <mergeCell ref="G103:H103"/>
    <mergeCell ref="I103:J103"/>
    <mergeCell ref="K103:L103"/>
    <mergeCell ref="M103:N103"/>
    <mergeCell ref="O103:P103"/>
    <mergeCell ref="C104:D104"/>
    <mergeCell ref="E104:F104"/>
    <mergeCell ref="G104:H104"/>
    <mergeCell ref="I104:J104"/>
    <mergeCell ref="K104:L104"/>
    <mergeCell ref="M104:N104"/>
    <mergeCell ref="O104:P104"/>
    <mergeCell ref="C105:D105"/>
    <mergeCell ref="E105:F105"/>
    <mergeCell ref="G105:H105"/>
    <mergeCell ref="I105:J105"/>
    <mergeCell ref="K105:L105"/>
    <mergeCell ref="M105:N105"/>
    <mergeCell ref="O105:P105"/>
    <mergeCell ref="C106:D106"/>
    <mergeCell ref="E106:F106"/>
    <mergeCell ref="G106:H106"/>
    <mergeCell ref="I106:J106"/>
    <mergeCell ref="K106:L106"/>
    <mergeCell ref="M106:N106"/>
    <mergeCell ref="O106:P106"/>
    <mergeCell ref="C107:D107"/>
    <mergeCell ref="E107:F107"/>
    <mergeCell ref="G107:H107"/>
    <mergeCell ref="I107:J107"/>
    <mergeCell ref="K107:L107"/>
    <mergeCell ref="M107:N107"/>
    <mergeCell ref="O107:P107"/>
    <mergeCell ref="C108:D108"/>
    <mergeCell ref="E108:F108"/>
    <mergeCell ref="G108:H108"/>
    <mergeCell ref="I108:J108"/>
    <mergeCell ref="K108:L108"/>
    <mergeCell ref="M108:N108"/>
    <mergeCell ref="O108:P108"/>
    <mergeCell ref="C109:D109"/>
    <mergeCell ref="E109:F109"/>
    <mergeCell ref="G109:H109"/>
    <mergeCell ref="I109:J109"/>
    <mergeCell ref="K109:L109"/>
    <mergeCell ref="M109:N109"/>
    <mergeCell ref="O109:P109"/>
    <mergeCell ref="C110:D110"/>
    <mergeCell ref="E110:F110"/>
    <mergeCell ref="G110:H110"/>
    <mergeCell ref="I110:J110"/>
    <mergeCell ref="K110:L110"/>
    <mergeCell ref="M110:N110"/>
    <mergeCell ref="O110:P110"/>
    <mergeCell ref="E112:N113"/>
    <mergeCell ref="O112:P112"/>
    <mergeCell ref="O113:P113"/>
    <mergeCell ref="C115:F115"/>
    <mergeCell ref="H115:K115"/>
    <mergeCell ref="M115:P115"/>
    <mergeCell ref="C116:D116"/>
    <mergeCell ref="E116:F116"/>
    <mergeCell ref="H116:I116"/>
    <mergeCell ref="J116:K116"/>
    <mergeCell ref="M116:N116"/>
    <mergeCell ref="O116:P116"/>
    <mergeCell ref="C117:D117"/>
    <mergeCell ref="E117:F117"/>
    <mergeCell ref="H117:I117"/>
    <mergeCell ref="J117:K117"/>
    <mergeCell ref="M117:N117"/>
    <mergeCell ref="O117:P117"/>
    <mergeCell ref="C118:D118"/>
    <mergeCell ref="E118:F118"/>
    <mergeCell ref="H118:I118"/>
    <mergeCell ref="J118:K118"/>
    <mergeCell ref="M118:N118"/>
    <mergeCell ref="O118:P118"/>
    <mergeCell ref="C119:D119"/>
    <mergeCell ref="E119:F119"/>
    <mergeCell ref="H119:I119"/>
    <mergeCell ref="J119:K119"/>
    <mergeCell ref="M119:N119"/>
    <mergeCell ref="O119:P119"/>
    <mergeCell ref="C120:D120"/>
    <mergeCell ref="E120:F120"/>
    <mergeCell ref="H120:I120"/>
    <mergeCell ref="J120:K120"/>
    <mergeCell ref="M120:N120"/>
    <mergeCell ref="O120:P120"/>
    <mergeCell ref="C121:D121"/>
    <mergeCell ref="E121:F121"/>
    <mergeCell ref="H121:I121"/>
    <mergeCell ref="J121:K121"/>
    <mergeCell ref="M121:N121"/>
    <mergeCell ref="O121:P121"/>
    <mergeCell ref="C122:D122"/>
    <mergeCell ref="E122:F122"/>
    <mergeCell ref="H122:I122"/>
    <mergeCell ref="J122:K122"/>
    <mergeCell ref="M122:N122"/>
    <mergeCell ref="O122:P122"/>
    <mergeCell ref="C123:D123"/>
    <mergeCell ref="H123:I123"/>
    <mergeCell ref="M123:N123"/>
    <mergeCell ref="C125:F125"/>
    <mergeCell ref="H125:K125"/>
    <mergeCell ref="M125:P125"/>
    <mergeCell ref="A125:A150"/>
    <mergeCell ref="C126:D126"/>
    <mergeCell ref="E126:F126"/>
    <mergeCell ref="H126:I126"/>
    <mergeCell ref="J126:K126"/>
    <mergeCell ref="M126:N126"/>
    <mergeCell ref="O126:P126"/>
    <mergeCell ref="C127:D127"/>
    <mergeCell ref="E127:F127"/>
    <mergeCell ref="H127:I127"/>
    <mergeCell ref="J127:K127"/>
    <mergeCell ref="M127:N127"/>
    <mergeCell ref="O127:P127"/>
    <mergeCell ref="C128:D128"/>
    <mergeCell ref="E128:F128"/>
    <mergeCell ref="H128:I128"/>
    <mergeCell ref="J128:K128"/>
    <mergeCell ref="M128:N128"/>
    <mergeCell ref="O128:P128"/>
    <mergeCell ref="C129:D129"/>
    <mergeCell ref="E129:F129"/>
    <mergeCell ref="H129:I129"/>
    <mergeCell ref="J129:K129"/>
    <mergeCell ref="M129:N129"/>
    <mergeCell ref="O129:P129"/>
    <mergeCell ref="C130:D130"/>
    <mergeCell ref="E130:F130"/>
    <mergeCell ref="H130:I130"/>
    <mergeCell ref="J130:K130"/>
    <mergeCell ref="M130:N130"/>
    <mergeCell ref="O130:P130"/>
    <mergeCell ref="C131:D131"/>
    <mergeCell ref="E131:F131"/>
    <mergeCell ref="H131:I131"/>
    <mergeCell ref="J131:K131"/>
    <mergeCell ref="M131:N131"/>
    <mergeCell ref="O131:P131"/>
    <mergeCell ref="C132:D132"/>
    <mergeCell ref="E132:F132"/>
    <mergeCell ref="H132:I132"/>
    <mergeCell ref="J132:K132"/>
    <mergeCell ref="M132:N132"/>
    <mergeCell ref="O132:P132"/>
    <mergeCell ref="C133:D133"/>
    <mergeCell ref="H133:I133"/>
    <mergeCell ref="M133:N133"/>
    <mergeCell ref="H135:K135"/>
    <mergeCell ref="H136:I136"/>
    <mergeCell ref="J136:K136"/>
    <mergeCell ref="H137:I137"/>
    <mergeCell ref="J137:K137"/>
    <mergeCell ref="H138:I138"/>
    <mergeCell ref="J138:K138"/>
    <mergeCell ref="H139:I139"/>
    <mergeCell ref="J139:K139"/>
    <mergeCell ref="H140:I140"/>
    <mergeCell ref="J140:K140"/>
    <mergeCell ref="H141:I141"/>
    <mergeCell ref="J141:K141"/>
    <mergeCell ref="H142:I142"/>
    <mergeCell ref="J142:K142"/>
    <mergeCell ref="H143:I143"/>
  </mergeCells>
  <pageMargins left="0.25" right="0.25" top="0.75" bottom="0.75" header="0.3" footer="0.3"/>
  <pageSetup paperSize="9" orientation="landscape" useFirstPageNumber="1"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79998168889431442"/>
    <pageSetUpPr fitToPage="1"/>
  </sheetPr>
  <dimension ref="A1:O37"/>
  <sheetViews>
    <sheetView showGridLines="0" tabSelected="1" zoomScale="90" zoomScaleNormal="90" workbookViewId="0">
      <selection activeCell="R27" sqref="R27"/>
    </sheetView>
  </sheetViews>
  <sheetFormatPr defaultColWidth="9.140625" defaultRowHeight="15" x14ac:dyDescent="0.25"/>
  <cols>
    <col min="1" max="1" width="9.140625" style="36" customWidth="1"/>
    <col min="2" max="2" width="9.140625" style="2" hidden="1" customWidth="1"/>
    <col min="3" max="3" width="23.7109375" style="62" hidden="1" customWidth="1"/>
    <col min="4" max="4" width="9.140625" style="36" hidden="1" customWidth="1"/>
    <col min="5" max="5" width="10.28515625" style="2" hidden="1" customWidth="1"/>
    <col min="6" max="6" width="23.7109375" style="36" customWidth="1"/>
    <col min="7" max="12" width="20.7109375" style="36" customWidth="1"/>
    <col min="13" max="14" width="9.140625" style="36" hidden="1" customWidth="1"/>
    <col min="15" max="15" width="10.42578125" style="63" customWidth="1"/>
    <col min="16" max="16" width="9.140625" style="36" customWidth="1"/>
    <col min="17" max="16384" width="9.140625" style="36"/>
  </cols>
  <sheetData>
    <row r="1" spans="1:14" x14ac:dyDescent="0.25">
      <c r="B1" s="64"/>
      <c r="C1" s="65"/>
    </row>
    <row r="2" spans="1:14" ht="15" customHeight="1" x14ac:dyDescent="0.25">
      <c r="A2" s="65"/>
      <c r="B2" s="64"/>
      <c r="C2" s="65"/>
      <c r="F2" s="156" t="s">
        <v>63</v>
      </c>
      <c r="G2" s="157"/>
      <c r="H2" s="157"/>
      <c r="I2" s="157"/>
      <c r="J2" s="157"/>
      <c r="K2" s="157"/>
      <c r="L2" s="157"/>
      <c r="M2" s="158" t="s">
        <v>64</v>
      </c>
      <c r="N2" s="158"/>
    </row>
    <row r="3" spans="1:14" ht="15" customHeight="1" x14ac:dyDescent="0.25">
      <c r="A3" s="66"/>
      <c r="B3" s="159" t="s">
        <v>65</v>
      </c>
      <c r="C3" s="67"/>
      <c r="F3" s="156"/>
      <c r="G3" s="157"/>
      <c r="H3" s="157"/>
      <c r="I3" s="157"/>
      <c r="J3" s="157"/>
      <c r="K3" s="157"/>
      <c r="L3" s="157"/>
      <c r="M3" s="158"/>
      <c r="N3" s="158"/>
    </row>
    <row r="4" spans="1:14" ht="3.75" customHeight="1" x14ac:dyDescent="0.25">
      <c r="A4" s="66"/>
      <c r="B4" s="159"/>
      <c r="C4" s="67"/>
      <c r="F4" s="68"/>
      <c r="G4" s="68"/>
      <c r="H4" s="68"/>
      <c r="I4" s="68"/>
      <c r="J4" s="68"/>
      <c r="K4" s="68"/>
      <c r="M4" s="158"/>
      <c r="N4" s="158"/>
    </row>
    <row r="5" spans="1:14" ht="15.75" customHeight="1" x14ac:dyDescent="0.25">
      <c r="A5" s="66"/>
      <c r="B5" s="160"/>
      <c r="C5" s="67"/>
      <c r="E5" s="69" t="s">
        <v>66</v>
      </c>
      <c r="F5" s="70" t="s">
        <v>30</v>
      </c>
      <c r="G5" s="70" t="s">
        <v>67</v>
      </c>
      <c r="H5" s="70" t="s">
        <v>68</v>
      </c>
      <c r="I5" s="70" t="s">
        <v>69</v>
      </c>
      <c r="J5" s="70" t="s">
        <v>70</v>
      </c>
      <c r="K5" s="70" t="s">
        <v>71</v>
      </c>
      <c r="L5" s="70" t="s">
        <v>72</v>
      </c>
      <c r="M5" s="158"/>
      <c r="N5" s="158"/>
    </row>
    <row r="6" spans="1:14" ht="15.75" customHeight="1" x14ac:dyDescent="0.25">
      <c r="B6" s="71">
        <v>100457</v>
      </c>
      <c r="C6" s="72" t="s">
        <v>73</v>
      </c>
      <c r="D6" s="73"/>
      <c r="E6" s="74">
        <v>10</v>
      </c>
      <c r="F6" s="75" t="s">
        <v>48</v>
      </c>
      <c r="G6" s="76">
        <f>AVERAGE(_xlfn.XLOOKUP($B6,'AC and RGM only'!$K$1:$K$150,'AC and RGM only'!$N$1:$T$150))</f>
        <v>6.1428571428571423E-2</v>
      </c>
      <c r="H6" s="77">
        <f>VALUE((_xlfn.XLOOKUP("*"&amp;($C6)&amp;"*",'STOCK ON HAND'!$F$1:$F$200,'STOCK ON HAND'!$H$1:$H$200,,2))/$E6)</f>
        <v>0.61099999999999999</v>
      </c>
      <c r="I6" s="78">
        <f>IF($G6=0,0,($H6*1/$G6))</f>
        <v>9.9465116279069772</v>
      </c>
      <c r="J6" s="79">
        <f>SUMIFS('STOCK ON ORDER'!$L$1:$L$200,'STOCK ON ORDER'!$H$1:$H$200,VALUE($M6))</f>
        <v>0</v>
      </c>
      <c r="K6" s="80">
        <f>G6*10</f>
        <v>0.61428571428571421</v>
      </c>
      <c r="L6" s="78">
        <f>IF(I6&gt;10,0,IFERROR(MAX(0,K6-H6-J6),0))</f>
        <v>3.2857142857142252E-3</v>
      </c>
      <c r="M6" s="81">
        <v>100457</v>
      </c>
    </row>
    <row r="7" spans="1:14" ht="15.75" customHeight="1" x14ac:dyDescent="0.25">
      <c r="B7" s="71">
        <v>37995</v>
      </c>
      <c r="C7" s="72" t="s">
        <v>74</v>
      </c>
      <c r="D7" s="73"/>
      <c r="E7" s="74">
        <v>3000</v>
      </c>
      <c r="F7" s="82" t="s">
        <v>75</v>
      </c>
      <c r="G7" s="76">
        <f>AVERAGE(_xlfn.XLOOKUP($B7,'AC and RGM only'!$K$1:$K$150,'AC and RGM only'!$N$1:$T$150))</f>
        <v>3.2857142857142856E-2</v>
      </c>
      <c r="H7" s="77">
        <f>VALUE((_xlfn.XLOOKUP("*"&amp;($C7)&amp;"*",'STOCK ON HAND'!$F$1:$F$200,'STOCK ON HAND'!$H$1:$H$200,,2))/$E7)</f>
        <v>0.77933333333333332</v>
      </c>
      <c r="I7" s="78">
        <f t="shared" ref="I7:I23" si="0">IF($G7=0,0,($H7*1/$G7))</f>
        <v>23.718840579710147</v>
      </c>
      <c r="J7" s="79">
        <f>SUMIFS('STOCK ON ORDER'!$L$2:$L$200,'STOCK ON ORDER'!$H$2:$H$200,$M7)</f>
        <v>0</v>
      </c>
      <c r="K7" s="80">
        <f t="shared" ref="K7" si="1">G7*10</f>
        <v>0.32857142857142857</v>
      </c>
      <c r="L7" s="78">
        <f>IF(I7&gt;10,0,IFERROR(MAX(0,K7-H7-J7),0))</f>
        <v>0</v>
      </c>
      <c r="M7" s="81" t="s">
        <v>76</v>
      </c>
    </row>
    <row r="8" spans="1:14" ht="15.75" customHeight="1" x14ac:dyDescent="0.25">
      <c r="B8" s="71">
        <v>37993</v>
      </c>
      <c r="C8" s="72" t="s">
        <v>77</v>
      </c>
      <c r="D8" s="73"/>
      <c r="E8" s="83">
        <v>3000</v>
      </c>
      <c r="F8" s="84" t="s">
        <v>78</v>
      </c>
      <c r="G8" s="76">
        <f>AVERAGE(_xlfn.XLOOKUP($B8,'AC and RGM only'!$K$1:$K$150,'AC and RGM only'!$N$1:$T$150))</f>
        <v>4.8571428571428578E-2</v>
      </c>
      <c r="H8" s="77">
        <f>VALUE((_xlfn.XLOOKUP("*"&amp;($C8)&amp;"*",'STOCK ON HAND'!$F$1:$F$200,'STOCK ON HAND'!$H$1:$H$200,,2))/$E8)</f>
        <v>0.31983333333333336</v>
      </c>
      <c r="I8" s="78">
        <f t="shared" si="0"/>
        <v>6.5848039215686267</v>
      </c>
      <c r="J8" s="79">
        <f>SUMIFS('STOCK ON ORDER'!$L$2:$L$200,'STOCK ON ORDER'!$H$2:$H$200,$M8)</f>
        <v>1</v>
      </c>
      <c r="K8" s="80">
        <f t="shared" ref="K8:K9" si="2">G8*10</f>
        <v>0.48571428571428577</v>
      </c>
      <c r="L8" s="78">
        <f t="shared" ref="L8:L23" si="3">IF(I8&gt;10,0,IFERROR(MAX(0,K8-H8-J8),0))</f>
        <v>0</v>
      </c>
      <c r="M8" s="85" t="s">
        <v>79</v>
      </c>
    </row>
    <row r="9" spans="1:14" ht="15.75" customHeight="1" x14ac:dyDescent="0.25">
      <c r="B9" s="71">
        <v>37893</v>
      </c>
      <c r="C9" s="72" t="s">
        <v>80</v>
      </c>
      <c r="D9" s="73"/>
      <c r="E9" s="83">
        <v>2000</v>
      </c>
      <c r="F9" s="84" t="s">
        <v>81</v>
      </c>
      <c r="G9" s="76">
        <f>AVERAGE(_xlfn.XLOOKUP($B9,'AC and RGM only'!$K$1:$K$150,'AC and RGM only'!$N$1:$T$150))</f>
        <v>5.8571428571428566E-2</v>
      </c>
      <c r="H9" s="77">
        <f>VALUE((_xlfn.XLOOKUP("*"&amp;($C9)&amp;"*",'STOCK ON HAND'!$F$1:$F$200,'STOCK ON HAND'!$H$1:$H$200,,2))/$E9)</f>
        <v>0.50049999999999994</v>
      </c>
      <c r="I9" s="78">
        <f t="shared" si="0"/>
        <v>8.545121951219512</v>
      </c>
      <c r="J9" s="79">
        <f>SUMIFS('STOCK ON ORDER'!$L$2:$L$200,'STOCK ON ORDER'!$H$2:$H$200,VALUE($M9))</f>
        <v>1</v>
      </c>
      <c r="K9" s="80">
        <f t="shared" si="2"/>
        <v>0.58571428571428563</v>
      </c>
      <c r="L9" s="78">
        <f t="shared" si="3"/>
        <v>0</v>
      </c>
      <c r="M9" s="81">
        <v>39942</v>
      </c>
    </row>
    <row r="10" spans="1:14" ht="16.5" customHeight="1" x14ac:dyDescent="0.25">
      <c r="B10" s="71">
        <v>37997</v>
      </c>
      <c r="C10" s="72" t="s">
        <v>82</v>
      </c>
      <c r="D10" s="73"/>
      <c r="E10" s="83">
        <v>2000</v>
      </c>
      <c r="F10" s="84" t="s">
        <v>83</v>
      </c>
      <c r="G10" s="76">
        <f>AVERAGE(_xlfn.XLOOKUP($B10,'AC and RGM only'!$K$1:$K$150,'AC and RGM only'!$N$1:$T$150))</f>
        <v>5.2857142857142866E-2</v>
      </c>
      <c r="H10" s="77">
        <f>VALUE((_xlfn.XLOOKUP("*"&amp;($C10)&amp;"*",'STOCK ON HAND'!$F$1:$F$200,'STOCK ON HAND'!$H$1:$H$200,,2))/$E10)</f>
        <v>0.85550000000000004</v>
      </c>
      <c r="I10" s="78">
        <f t="shared" si="0"/>
        <v>16.185135135135134</v>
      </c>
      <c r="J10" s="79">
        <f>SUMIFS('STOCK ON ORDER'!$L$2:$L$200,'STOCK ON ORDER'!$H$2:$H$200,VALUE($M10))</f>
        <v>0</v>
      </c>
      <c r="K10" s="80">
        <f t="shared" ref="K10:K23" si="4">G10*10</f>
        <v>0.52857142857142869</v>
      </c>
      <c r="L10" s="78">
        <f t="shared" si="3"/>
        <v>0</v>
      </c>
      <c r="M10" s="81">
        <v>39945</v>
      </c>
    </row>
    <row r="11" spans="1:14" ht="15.75" customHeight="1" x14ac:dyDescent="0.25">
      <c r="B11" s="71">
        <v>37991</v>
      </c>
      <c r="C11" s="72" t="s">
        <v>84</v>
      </c>
      <c r="D11" s="73"/>
      <c r="E11" s="83">
        <v>250</v>
      </c>
      <c r="F11" s="86" t="s">
        <v>85</v>
      </c>
      <c r="G11" s="76">
        <f>AVERAGE(_xlfn.XLOOKUP($B11,'AC and RGM only'!$K$1:$K$150,'AC and RGM only'!$N$1:$T$150))</f>
        <v>0.20142857142857143</v>
      </c>
      <c r="H11" s="77">
        <f>VALUE((_xlfn.XLOOKUP("*"&amp;($C11)&amp;"*",'STOCK ON HAND'!$F$1:$F$200,'STOCK ON HAND'!$H$1:$H$200,,2))/$E11)</f>
        <v>1.00224</v>
      </c>
      <c r="I11" s="78">
        <f t="shared" si="0"/>
        <v>4.9756595744680849</v>
      </c>
      <c r="J11" s="79">
        <f>SUMIFS('STOCK ON ORDER'!$L$2:$L$200,'STOCK ON ORDER'!$H$2:$H$200,VALUE($M11))</f>
        <v>1</v>
      </c>
      <c r="K11" s="80">
        <f t="shared" si="4"/>
        <v>2.0142857142857142</v>
      </c>
      <c r="L11" s="78">
        <f t="shared" si="3"/>
        <v>1.2045714285714215E-2</v>
      </c>
      <c r="M11" s="85">
        <v>37991</v>
      </c>
    </row>
    <row r="12" spans="1:14" ht="15.75" customHeight="1" x14ac:dyDescent="0.25">
      <c r="B12" s="71">
        <v>37989</v>
      </c>
      <c r="C12" s="72" t="s">
        <v>86</v>
      </c>
      <c r="D12" s="73"/>
      <c r="E12" s="83">
        <v>1000</v>
      </c>
      <c r="F12" s="87" t="s">
        <v>87</v>
      </c>
      <c r="G12" s="76">
        <f>AVERAGE(_xlfn.XLOOKUP($B12,'AC and RGM only'!$K$1:$K$150,'AC and RGM only'!$N$1:$T$150))</f>
        <v>0.22571428571428573</v>
      </c>
      <c r="H12" s="77">
        <f>VALUE((_xlfn.XLOOKUP("*"&amp;($C12)&amp;"*",'STOCK ON HAND'!$F$1:$F$200,'STOCK ON HAND'!$H$1:$H$200,,2))/$E12)</f>
        <v>1.75085</v>
      </c>
      <c r="I12" s="78">
        <f t="shared" si="0"/>
        <v>7.7569303797468354</v>
      </c>
      <c r="J12" s="79">
        <f>SUMIFS('STOCK ON ORDER'!$L$2:$L$200,'STOCK ON ORDER'!$H$2:$H$200,VALUE($M12))</f>
        <v>1</v>
      </c>
      <c r="K12" s="80">
        <f t="shared" si="4"/>
        <v>2.2571428571428571</v>
      </c>
      <c r="L12" s="78">
        <f t="shared" si="3"/>
        <v>0</v>
      </c>
      <c r="M12" s="81">
        <v>37989</v>
      </c>
    </row>
    <row r="13" spans="1:14" ht="15.75" customHeight="1" x14ac:dyDescent="0.25">
      <c r="B13" s="71">
        <v>38892</v>
      </c>
      <c r="C13" s="72" t="s">
        <v>88</v>
      </c>
      <c r="D13" s="73"/>
      <c r="E13" s="83">
        <v>250</v>
      </c>
      <c r="F13" s="87" t="s">
        <v>89</v>
      </c>
      <c r="G13" s="76">
        <f>AVERAGE(_xlfn.XLOOKUP($B13,'AC and RGM only'!$K$1:$K$150,'AC and RGM only'!$N$1:$T$150))</f>
        <v>0.18285714285714288</v>
      </c>
      <c r="H13" s="77">
        <f>VALUE((_xlfn.XLOOKUP("*"&amp;($C13)&amp;"*",'STOCK ON HAND'!$F$1:$F$200,'STOCK ON HAND'!$H$1:$H$200,,2))/$E13)</f>
        <v>0.79200000000000004</v>
      </c>
      <c r="I13" s="78">
        <f t="shared" si="0"/>
        <v>4.3312499999999998</v>
      </c>
      <c r="J13" s="79">
        <f>SUMIFS('STOCK ON ORDER'!$L$2:$L$200,'STOCK ON ORDER'!$H$2:$H$200,VALUE($M13))</f>
        <v>3</v>
      </c>
      <c r="K13" s="80">
        <f>G13*20</f>
        <v>3.6571428571428575</v>
      </c>
      <c r="L13" s="78">
        <f>IF(I13&gt;10,0,IFERROR(MAX(0,K13-H13-J13),0))</f>
        <v>0</v>
      </c>
      <c r="M13" s="81">
        <v>38892</v>
      </c>
    </row>
    <row r="14" spans="1:14" ht="16.5" customHeight="1" x14ac:dyDescent="0.25">
      <c r="B14" s="71">
        <v>37872</v>
      </c>
      <c r="C14" s="72" t="s">
        <v>90</v>
      </c>
      <c r="D14" s="73"/>
      <c r="E14" s="83">
        <v>200</v>
      </c>
      <c r="F14" s="84" t="s">
        <v>91</v>
      </c>
      <c r="G14" s="76">
        <f>AVERAGE(_xlfn.XLOOKUP($B14,'AC and RGM only'!$K$1:$K$150,'AC and RGM only'!$N$1:$T$150))</f>
        <v>0.18857142857142858</v>
      </c>
      <c r="H14" s="77">
        <f>VALUE((_xlfn.XLOOKUP("*"&amp;($C14)&amp;"*",'STOCK ON HAND'!$F$1:$F$200,'STOCK ON HAND'!$H$1:$H$200,,2))/$E14)</f>
        <v>1.145</v>
      </c>
      <c r="I14" s="78">
        <f t="shared" si="0"/>
        <v>6.0719696969696964</v>
      </c>
      <c r="J14" s="79">
        <f>SUMIFS('STOCK ON ORDER'!$L$2:$L$200,'STOCK ON ORDER'!$H$2:$H$200,VALUE($M14))</f>
        <v>1</v>
      </c>
      <c r="K14" s="80">
        <f t="shared" si="4"/>
        <v>1.8857142857142859</v>
      </c>
      <c r="L14" s="78">
        <f t="shared" si="3"/>
        <v>0</v>
      </c>
      <c r="M14" s="81">
        <v>40014</v>
      </c>
    </row>
    <row r="15" spans="1:14" ht="15.75" customHeight="1" x14ac:dyDescent="0.25">
      <c r="B15" s="71">
        <v>38352</v>
      </c>
      <c r="C15" s="72" t="s">
        <v>16</v>
      </c>
      <c r="D15" s="73"/>
      <c r="E15" s="83">
        <v>10</v>
      </c>
      <c r="F15" s="84" t="s">
        <v>16</v>
      </c>
      <c r="G15" s="76">
        <f>AVERAGE(_xlfn.XLOOKUP($B15,'AC and RGM only'!$K$1:$K$150,'AC and RGM only'!$N$1:$T$150))</f>
        <v>7.1428571428571435E-3</v>
      </c>
      <c r="H15" s="77">
        <f>VALUE((_xlfn.XLOOKUP("*"&amp;($C15)&amp;"*",'STOCK ON HAND'!$F$1:$F$200,'STOCK ON HAND'!$H$1:$H$200,,2))/$E15)</f>
        <v>5.5000000000000007E-2</v>
      </c>
      <c r="I15" s="78">
        <f t="shared" si="0"/>
        <v>7.7</v>
      </c>
      <c r="J15" s="79">
        <f>SUMIFS('STOCK ON ORDER'!$L$2:$L$200,'STOCK ON ORDER'!$H$2:$H$200,$M15)</f>
        <v>0</v>
      </c>
      <c r="K15" s="80">
        <f t="shared" si="4"/>
        <v>7.1428571428571438E-2</v>
      </c>
      <c r="L15" s="78">
        <f t="shared" si="3"/>
        <v>1.6428571428571431E-2</v>
      </c>
      <c r="M15" s="85" t="s">
        <v>92</v>
      </c>
    </row>
    <row r="16" spans="1:14" ht="15.75" customHeight="1" x14ac:dyDescent="0.25">
      <c r="B16" s="71">
        <v>37378</v>
      </c>
      <c r="C16" s="72" t="s">
        <v>93</v>
      </c>
      <c r="D16" s="73"/>
      <c r="E16" s="83">
        <v>1000</v>
      </c>
      <c r="F16" s="84" t="s">
        <v>94</v>
      </c>
      <c r="G16" s="76">
        <f>AVERAGE(_xlfn.XLOOKUP($B16,'AC and RGM only'!$K$1:$K$150,'AC and RGM only'!$N$1:$T$150))</f>
        <v>1.5714285714285715E-2</v>
      </c>
      <c r="H16" s="77">
        <f>VALUE((_xlfn.XLOOKUP("*"&amp;($C16)&amp;"*",'STOCK ON HAND'!$F$1:$F$200,'STOCK ON HAND'!$H$1:$H$200,,2))/$E16)</f>
        <v>0.112</v>
      </c>
      <c r="I16" s="78">
        <f t="shared" si="0"/>
        <v>7.127272727272727</v>
      </c>
      <c r="J16" s="79">
        <f>SUMIFS('STOCK ON ORDER'!$L$2:$L$200,'STOCK ON ORDER'!$H$2:$H$200,VALUE($M16))</f>
        <v>1</v>
      </c>
      <c r="K16" s="80">
        <f t="shared" si="4"/>
        <v>0.15714285714285714</v>
      </c>
      <c r="L16" s="78">
        <f t="shared" si="3"/>
        <v>0</v>
      </c>
      <c r="M16" s="81">
        <v>507876</v>
      </c>
    </row>
    <row r="17" spans="2:13" ht="15.75" customHeight="1" x14ac:dyDescent="0.25">
      <c r="B17" s="71">
        <v>37856</v>
      </c>
      <c r="C17" s="72" t="s">
        <v>95</v>
      </c>
      <c r="D17" s="73"/>
      <c r="E17" s="83">
        <v>1000</v>
      </c>
      <c r="F17" s="84" t="s">
        <v>96</v>
      </c>
      <c r="G17" s="76">
        <f>AVERAGE(_xlfn.XLOOKUP($B17,'AC and RGM only'!$K$1:$K$150,'AC and RGM only'!$N$1:$T$150))</f>
        <v>6.8571428571428575E-2</v>
      </c>
      <c r="H17" s="77">
        <f>VALUE((_xlfn.XLOOKUP("*"&amp;($C17)&amp;"*",'STOCK ON HAND'!$F$1:$F$200,'STOCK ON HAND'!$H$1:$H$200,,2))/$E17)</f>
        <v>1.0229999999999999</v>
      </c>
      <c r="I17" s="78">
        <f t="shared" si="0"/>
        <v>14.918749999999998</v>
      </c>
      <c r="J17" s="79">
        <f>SUMIFS('STOCK ON ORDER'!$L$2:$L$200,'STOCK ON ORDER'!$H$2:$H$200,VALUE($M17))</f>
        <v>0</v>
      </c>
      <c r="K17" s="80">
        <f t="shared" si="4"/>
        <v>0.68571428571428572</v>
      </c>
      <c r="L17" s="78">
        <f t="shared" si="3"/>
        <v>0</v>
      </c>
      <c r="M17" s="85">
        <v>38891</v>
      </c>
    </row>
    <row r="18" spans="2:13" ht="15.75" customHeight="1" x14ac:dyDescent="0.25">
      <c r="B18" s="71">
        <v>37854</v>
      </c>
      <c r="C18" s="72" t="s">
        <v>97</v>
      </c>
      <c r="D18" s="73"/>
      <c r="E18" s="83">
        <v>1000</v>
      </c>
      <c r="F18" s="84" t="s">
        <v>98</v>
      </c>
      <c r="G18" s="76">
        <f>AVERAGE(_xlfn.XLOOKUP($B18,'AC and RGM only'!$K$1:$K$150,'AC and RGM only'!$N$1:$T$150))</f>
        <v>0.10571428571428573</v>
      </c>
      <c r="H18" s="77">
        <f>VALUE((_xlfn.XLOOKUP("*"&amp;($C18)&amp;"*",'STOCK ON HAND'!$F$1:$F$200,'STOCK ON HAND'!$H$1:$H$200,,2))/$E18)</f>
        <v>0.61399999999999999</v>
      </c>
      <c r="I18" s="78">
        <f t="shared" si="0"/>
        <v>5.8081081081081072</v>
      </c>
      <c r="J18" s="79">
        <f>SUMIFS('STOCK ON ORDER'!$L$2:$L$200,'STOCK ON ORDER'!$H$2:$H$200,VALUE($M18))</f>
        <v>1</v>
      </c>
      <c r="K18" s="80">
        <f t="shared" si="4"/>
        <v>1.0571428571428574</v>
      </c>
      <c r="L18" s="78">
        <f t="shared" si="3"/>
        <v>0</v>
      </c>
      <c r="M18" s="81">
        <v>38890</v>
      </c>
    </row>
    <row r="19" spans="2:13" ht="15.75" customHeight="1" x14ac:dyDescent="0.25">
      <c r="B19" s="71">
        <v>11172</v>
      </c>
      <c r="C19" s="72" t="s">
        <v>99</v>
      </c>
      <c r="D19" s="73"/>
      <c r="E19" s="83">
        <v>5</v>
      </c>
      <c r="F19" s="84" t="s">
        <v>100</v>
      </c>
      <c r="G19" s="76">
        <f>AVERAGE(_xlfn.XLOOKUP($B19,'AC and RGM only'!$K$1:$K$150,'AC and RGM only'!$N$1:$T$150))</f>
        <v>0.06</v>
      </c>
      <c r="H19" s="77">
        <f>VALUE((_xlfn.XLOOKUP("*"&amp;($C19)&amp;"*",'STOCK ON HAND'!$F$1:$F$200,'STOCK ON HAND'!$H$1:$H$200,,2))/$E19)</f>
        <v>0.72599999999999998</v>
      </c>
      <c r="I19" s="78">
        <f t="shared" si="0"/>
        <v>12.1</v>
      </c>
      <c r="J19" s="79">
        <f>SUMIFS('STOCK ON ORDER'!$L$2:$L$200,'STOCK ON ORDER'!$H$2:$H$200,VALUE($M19))</f>
        <v>0</v>
      </c>
      <c r="K19" s="80">
        <f t="shared" si="4"/>
        <v>0.6</v>
      </c>
      <c r="L19" s="78">
        <f t="shared" si="3"/>
        <v>0</v>
      </c>
      <c r="M19" s="85">
        <v>38088</v>
      </c>
    </row>
    <row r="20" spans="2:13" ht="16.5" customHeight="1" x14ac:dyDescent="0.25">
      <c r="B20" s="71">
        <v>20295</v>
      </c>
      <c r="C20" s="72" t="s">
        <v>101</v>
      </c>
      <c r="D20" s="73"/>
      <c r="E20" s="83">
        <f>6*2.3</f>
        <v>13.799999999999999</v>
      </c>
      <c r="F20" s="84" t="s">
        <v>102</v>
      </c>
      <c r="G20" s="76">
        <f>AVERAGE(_xlfn.XLOOKUP($B20,'AC and RGM only'!$K$1:$K$150,'AC and RGM only'!$N$1:$T$150))</f>
        <v>5.7142857142857143E-3</v>
      </c>
      <c r="H20" s="77">
        <f>VALUE((_xlfn.XLOOKUP("*"&amp;($C20)&amp;"*",'STOCK ON HAND'!$F$1:$F$200,'STOCK ON HAND'!$H$1:$H$200,,2))/$E20)</f>
        <v>0.64855072463768115</v>
      </c>
      <c r="I20" s="78">
        <f t="shared" si="0"/>
        <v>113.4963768115942</v>
      </c>
      <c r="J20" s="79">
        <f>SUMIFS('STOCK ON ORDER'!$L$2:$L$200,'STOCK ON ORDER'!$H$2:$H$200,VALUE($M20))</f>
        <v>0</v>
      </c>
      <c r="K20" s="80">
        <f t="shared" si="4"/>
        <v>5.7142857142857141E-2</v>
      </c>
      <c r="L20" s="78">
        <f t="shared" si="3"/>
        <v>0</v>
      </c>
      <c r="M20" s="85">
        <v>40003</v>
      </c>
    </row>
    <row r="21" spans="2:13" ht="15.75" customHeight="1" x14ac:dyDescent="0.25">
      <c r="B21" s="71">
        <v>13735</v>
      </c>
      <c r="C21" s="72" t="s">
        <v>103</v>
      </c>
      <c r="D21" s="73"/>
      <c r="E21" s="83">
        <v>1000</v>
      </c>
      <c r="F21" s="87" t="s">
        <v>104</v>
      </c>
      <c r="G21" s="76">
        <f>AVERAGE(_xlfn.XLOOKUP($B21,'AC and RGM only'!$K$1:$K$150,'AC and RGM only'!$N$1:$T$150))</f>
        <v>0.1714285714285714</v>
      </c>
      <c r="H21" s="77">
        <f>VALUE((_xlfn.XLOOKUP("*"&amp;($C21)&amp;"*",'STOCK ON HAND'!$F$1:$F$200,'STOCK ON HAND'!$H$1:$H$200,,2))/$E21)</f>
        <v>2.0369999999999999</v>
      </c>
      <c r="I21" s="78">
        <f t="shared" si="0"/>
        <v>11.882500000000002</v>
      </c>
      <c r="J21" s="79">
        <f>SUMIFS('STOCK ON ORDER'!$L$2:$L$200,'STOCK ON ORDER'!$H$2:$H$200,VALUE($M21))</f>
        <v>0</v>
      </c>
      <c r="K21" s="80">
        <f t="shared" si="4"/>
        <v>1.714285714285714</v>
      </c>
      <c r="L21" s="78">
        <f t="shared" si="3"/>
        <v>0</v>
      </c>
      <c r="M21" s="81">
        <v>38894</v>
      </c>
    </row>
    <row r="22" spans="2:13" ht="15.75" customHeight="1" x14ac:dyDescent="0.25">
      <c r="B22" s="71">
        <v>37380</v>
      </c>
      <c r="C22" s="72" t="s">
        <v>105</v>
      </c>
      <c r="D22" s="73"/>
      <c r="E22" s="83">
        <v>1000</v>
      </c>
      <c r="F22" s="87" t="s">
        <v>106</v>
      </c>
      <c r="G22" s="76">
        <f>AVERAGE(_xlfn.XLOOKUP($B22,'AC and RGM only'!$K$1:$K$150,'AC and RGM only'!$N$1:$T$150))</f>
        <v>1.5714285714285715E-2</v>
      </c>
      <c r="H22" s="77">
        <f>VALUE((_xlfn.XLOOKUP("*"&amp;($C22)&amp;"*",'STOCK ON HAND'!$F$1:$F$200,'STOCK ON HAND'!$H$1:$H$200,,2))/$E22)</f>
        <v>1.512</v>
      </c>
      <c r="I22" s="78">
        <f t="shared" si="0"/>
        <v>96.218181818181819</v>
      </c>
      <c r="J22" s="79">
        <f>SUMIFS('STOCK ON ORDER'!$L$2:$L$200,'STOCK ON ORDER'!$H$2:$H$200,VALUE($M22))</f>
        <v>0</v>
      </c>
      <c r="K22" s="80">
        <f t="shared" si="4"/>
        <v>0.15714285714285714</v>
      </c>
      <c r="L22" s="78">
        <f t="shared" si="3"/>
        <v>0</v>
      </c>
      <c r="M22" s="85">
        <v>507877</v>
      </c>
    </row>
    <row r="23" spans="2:13" ht="15.75" customHeight="1" x14ac:dyDescent="0.25">
      <c r="B23" s="71">
        <v>36549</v>
      </c>
      <c r="C23" s="72" t="s">
        <v>107</v>
      </c>
      <c r="D23" s="73"/>
      <c r="E23" s="83">
        <v>6000</v>
      </c>
      <c r="F23" s="84" t="s">
        <v>108</v>
      </c>
      <c r="G23" s="76">
        <f>AVERAGE(_xlfn.XLOOKUP($B23,'AC and RGM only'!$K$1:$K$150,'AC and RGM only'!$N$1:$T$150))</f>
        <v>0.11285714285714286</v>
      </c>
      <c r="H23" s="77">
        <f>VALUE((_xlfn.XLOOKUP("*"&amp;($C23)&amp;"*",'STOCK ON HAND'!$F$1:$F$200,'STOCK ON HAND'!$H$1:$H$200,,2))/$E23)</f>
        <v>0.30533333333333335</v>
      </c>
      <c r="I23" s="78">
        <f t="shared" si="0"/>
        <v>2.7054852320675105</v>
      </c>
      <c r="J23" s="79">
        <f>SUMIFS('STOCK ON ORDER'!$L$2:$L$200,'STOCK ON ORDER'!$H$2:$H$200,VALUE($M23))</f>
        <v>1</v>
      </c>
      <c r="K23" s="80">
        <f t="shared" si="4"/>
        <v>1.1285714285714286</v>
      </c>
      <c r="L23" s="78">
        <f t="shared" si="3"/>
        <v>0</v>
      </c>
      <c r="M23" s="81">
        <v>38050</v>
      </c>
    </row>
    <row r="24" spans="2:13" ht="15.75" customHeight="1" x14ac:dyDescent="0.25">
      <c r="B24" s="71">
        <v>37915</v>
      </c>
      <c r="C24" s="72" t="s">
        <v>109</v>
      </c>
      <c r="D24" s="73"/>
      <c r="E24" s="83">
        <v>10</v>
      </c>
      <c r="F24" s="84" t="s">
        <v>110</v>
      </c>
      <c r="G24" s="76">
        <f>AVERAGE(_xlfn.XLOOKUP($B24,'AC and RGM only'!$K$1:$K$150,'AC and RGM only'!$N$1:$T$150))</f>
        <v>0.32285714285714284</v>
      </c>
      <c r="H24" s="77">
        <f>VALUE((_xlfn.XLOOKUP("*"&amp;($C24)&amp;"*",'STOCK ON HAND'!$F$1:$F$200,'STOCK ON HAND'!$H$1:$H$200,,2))/$E24)</f>
        <v>1.167</v>
      </c>
      <c r="I24" s="78">
        <f t="shared" ref="I24:I27" si="5">IF($G24=0,0,($H24*1/$G24))</f>
        <v>3.6146017699115047</v>
      </c>
      <c r="J24" s="79">
        <f>SUMIFS('STOCK ON ORDER'!$L$2:$L$200,'STOCK ON ORDER'!$H$2:$H$200,$M24)</f>
        <v>2</v>
      </c>
      <c r="K24" s="80">
        <f t="shared" ref="K24:K27" si="6">G24*10</f>
        <v>3.2285714285714286</v>
      </c>
      <c r="L24" s="78">
        <f>IF(I24&gt;10,0,IFERROR(MAX(0,K24-H24-J24),0))</f>
        <v>6.1571428571428832E-2</v>
      </c>
      <c r="M24" s="85" t="s">
        <v>111</v>
      </c>
    </row>
    <row r="25" spans="2:13" ht="15.75" customHeight="1" x14ac:dyDescent="0.25">
      <c r="B25" s="71">
        <v>37870</v>
      </c>
      <c r="C25" s="72" t="s">
        <v>112</v>
      </c>
      <c r="D25" s="73"/>
      <c r="E25" s="83">
        <v>10</v>
      </c>
      <c r="F25" s="87" t="s">
        <v>47</v>
      </c>
      <c r="G25" s="76">
        <f>AVERAGE(_xlfn.XLOOKUP($B25,'AC and RGM only'!$K$1:$K$150,'AC and RGM only'!$N$1:$T$150))</f>
        <v>0.19285714285714284</v>
      </c>
      <c r="H25" s="77">
        <f>VALUE((_xlfn.XLOOKUP("*"&amp;($C25)&amp;"*",'STOCK ON HAND'!$F$1:$F$200,'STOCK ON HAND'!$H$1:$H$200,,2))/$E25)</f>
        <v>1.349</v>
      </c>
      <c r="I25" s="78">
        <f t="shared" si="5"/>
        <v>6.9948148148148155</v>
      </c>
      <c r="J25" s="79">
        <f>SUMIFS('STOCK ON ORDER'!$L$2:$L$200,'STOCK ON ORDER'!$H$2:$H$200,VALUE($M25))</f>
        <v>1</v>
      </c>
      <c r="K25" s="80">
        <f t="shared" si="6"/>
        <v>1.9285714285714284</v>
      </c>
      <c r="L25" s="78">
        <f t="shared" ref="L25:L27" si="7">IF(I25&gt;10,0,IFERROR(MAX(0,K25-H25-J25),0))</f>
        <v>0</v>
      </c>
      <c r="M25" s="81">
        <v>37870</v>
      </c>
    </row>
    <row r="26" spans="2:13" ht="15.75" customHeight="1" x14ac:dyDescent="0.25">
      <c r="B26" s="71">
        <v>37883</v>
      </c>
      <c r="C26" s="72" t="s">
        <v>113</v>
      </c>
      <c r="D26" s="73"/>
      <c r="E26" s="83">
        <v>6</v>
      </c>
      <c r="F26" s="87" t="s">
        <v>114</v>
      </c>
      <c r="G26" s="76">
        <f>AVERAGE(_xlfn.XLOOKUP($B26,'AC and RGM only'!$K$1:$K$150,'AC and RGM only'!$N$1:$T$150))</f>
        <v>3.8571428571428576E-2</v>
      </c>
      <c r="H26" s="77">
        <f>VALUE((_xlfn.XLOOKUP("*"&amp;($C26)&amp;"*",'STOCK ON HAND'!$F$1:$F$200,'STOCK ON HAND'!$H$1:$H$200,,2))/$E26)</f>
        <v>0.89500000000000002</v>
      </c>
      <c r="I26" s="78">
        <f t="shared" si="5"/>
        <v>23.203703703703702</v>
      </c>
      <c r="J26" s="79">
        <f>SUMIFS('STOCK ON ORDER'!$L$2:$L$200,'STOCK ON ORDER'!$H$2:$H$200,VALUE($M26))</f>
        <v>0</v>
      </c>
      <c r="K26" s="80">
        <f t="shared" si="6"/>
        <v>0.38571428571428579</v>
      </c>
      <c r="L26" s="78">
        <f t="shared" si="7"/>
        <v>0</v>
      </c>
      <c r="M26" s="85">
        <v>38163</v>
      </c>
    </row>
    <row r="27" spans="2:13" ht="15.75" customHeight="1" x14ac:dyDescent="0.25">
      <c r="B27" s="71">
        <v>37883</v>
      </c>
      <c r="C27" s="72" t="s">
        <v>113</v>
      </c>
      <c r="D27" s="73"/>
      <c r="E27" s="83">
        <v>6</v>
      </c>
      <c r="F27" s="87" t="s">
        <v>114</v>
      </c>
      <c r="G27" s="76">
        <f>AVERAGE(_xlfn.XLOOKUP($B27,'AC and RGM only'!$K$1:$K$150,'AC and RGM only'!$N$1:$T$150))</f>
        <v>3.8571428571428576E-2</v>
      </c>
      <c r="H27" s="77">
        <f>VALUE((_xlfn.XLOOKUP("*"&amp;($C27)&amp;"*",'STOCK ON HAND'!$F$1:$F$200,'STOCK ON HAND'!$H$1:$H$200,,2))/$E27)</f>
        <v>0.89500000000000002</v>
      </c>
      <c r="I27" s="78">
        <f t="shared" si="5"/>
        <v>23.203703703703702</v>
      </c>
      <c r="J27" s="79">
        <f>SUMIFS('STOCK ON ORDER'!$L$2:$L$200,'STOCK ON ORDER'!$H$2:$H$200,$M27)</f>
        <v>0</v>
      </c>
      <c r="K27" s="80">
        <f t="shared" si="6"/>
        <v>0.38571428571428579</v>
      </c>
      <c r="L27" s="78">
        <f t="shared" si="7"/>
        <v>0</v>
      </c>
      <c r="M27" s="81" t="s">
        <v>115</v>
      </c>
    </row>
    <row r="28" spans="2:13" ht="16.5" customHeight="1" x14ac:dyDescent="0.25">
      <c r="B28" s="71">
        <v>37907</v>
      </c>
      <c r="C28" s="72" t="s">
        <v>116</v>
      </c>
      <c r="D28" s="73"/>
      <c r="E28" s="83">
        <v>10</v>
      </c>
      <c r="F28" s="84" t="s">
        <v>117</v>
      </c>
      <c r="G28" s="76">
        <f>AVERAGE(_xlfn.XLOOKUP($B28,'AC and RGM only'!$K$1:$K$150,'AC and RGM only'!$N$1:$T$150))</f>
        <v>0.10857142857142857</v>
      </c>
      <c r="H28" s="77">
        <f>VALUE((_xlfn.XLOOKUP("*"&amp;($C28)&amp;"*",'STOCK ON HAND'!$F$1:$F$200,'STOCK ON HAND'!$H$1:$H$200,,2))/$E28)</f>
        <v>1.123</v>
      </c>
      <c r="I28" s="78">
        <f t="shared" ref="I28:I34" si="8">IF($G28=0,0,($H28*1/$G28))</f>
        <v>10.343421052631578</v>
      </c>
      <c r="J28" s="79">
        <f>SUMIFS('STOCK ON ORDER'!$L$2:$L$200,'STOCK ON ORDER'!$H$2:$H$200,VALUE($M28))</f>
        <v>0</v>
      </c>
      <c r="K28" s="80">
        <f t="shared" ref="K28:K37" si="9">G28*10</f>
        <v>1.0857142857142856</v>
      </c>
      <c r="L28" s="78">
        <f t="shared" ref="L28:L37" si="10">IF(I28&gt;10,0,IFERROR(MAX(0,K28-H28-J28),0))</f>
        <v>0</v>
      </c>
      <c r="M28" s="85">
        <v>39054</v>
      </c>
    </row>
    <row r="29" spans="2:13" ht="15.75" customHeight="1" x14ac:dyDescent="0.25">
      <c r="B29" s="71">
        <v>39185</v>
      </c>
      <c r="C29" s="72" t="s">
        <v>118</v>
      </c>
      <c r="D29" s="73"/>
      <c r="E29" s="83">
        <v>4000</v>
      </c>
      <c r="F29" s="84" t="s">
        <v>119</v>
      </c>
      <c r="G29" s="76">
        <f>AVERAGE(_xlfn.XLOOKUP($B29,'AC and RGM only'!$K$1:$K$150,'AC and RGM only'!$N$1:$T$150))</f>
        <v>4.8571428571428578E-2</v>
      </c>
      <c r="H29" s="77">
        <f>VALUE((_xlfn.XLOOKUP("*"&amp;($C29)&amp;"*",'STOCK ON HAND'!$F$1:$F$200,'STOCK ON HAND'!$H$1:$H$200,,2))/$E29)</f>
        <v>1.081</v>
      </c>
      <c r="I29" s="78">
        <f t="shared" si="8"/>
        <v>22.255882352941171</v>
      </c>
      <c r="J29" s="79">
        <f>SUMIFS('STOCK ON ORDER'!$L$2:$L$200,'STOCK ON ORDER'!$H$2:$H$200,VALUE($M29))</f>
        <v>0</v>
      </c>
      <c r="K29" s="80">
        <f t="shared" si="9"/>
        <v>0.48571428571428577</v>
      </c>
      <c r="L29" s="78">
        <f t="shared" si="10"/>
        <v>0</v>
      </c>
      <c r="M29" s="81">
        <v>507516</v>
      </c>
    </row>
    <row r="30" spans="2:13" ht="15.75" customHeight="1" x14ac:dyDescent="0.25">
      <c r="B30" s="71">
        <v>34210</v>
      </c>
      <c r="C30" s="72" t="s">
        <v>120</v>
      </c>
      <c r="D30" s="73"/>
      <c r="E30" s="83">
        <f>5*2.5</f>
        <v>12.5</v>
      </c>
      <c r="F30" s="86" t="s">
        <v>121</v>
      </c>
      <c r="G30" s="76">
        <f>AVERAGE(_xlfn.XLOOKUP($B30,'AC and RGM only'!$K$1:$K$150,'AC and RGM only'!$N$1:$T$150))</f>
        <v>8.5714285714285719E-3</v>
      </c>
      <c r="H30" s="77">
        <f>VALUE((_xlfn.XLOOKUP("*"&amp;($C30)&amp;"*",'STOCK ON HAND'!$F$1:$F$200,'STOCK ON HAND'!$H$1:$H$200,,2))/$E30)</f>
        <v>0.57840000000000003</v>
      </c>
      <c r="I30" s="78">
        <f t="shared" si="8"/>
        <v>67.48</v>
      </c>
      <c r="J30" s="79">
        <f>SUMIFS('STOCK ON ORDER'!$L$2:$L$200,'STOCK ON ORDER'!$H$2:$H$200,VALUE($M30))</f>
        <v>0</v>
      </c>
      <c r="K30" s="80">
        <f t="shared" si="9"/>
        <v>8.5714285714285715E-2</v>
      </c>
      <c r="L30" s="78">
        <f t="shared" si="10"/>
        <v>0</v>
      </c>
      <c r="M30" s="85">
        <v>40037</v>
      </c>
    </row>
    <row r="31" spans="2:13" ht="15.75" customHeight="1" x14ac:dyDescent="0.25">
      <c r="B31" s="71">
        <v>39744</v>
      </c>
      <c r="C31" s="72" t="s">
        <v>122</v>
      </c>
      <c r="D31" s="73"/>
      <c r="E31" s="83">
        <v>1000</v>
      </c>
      <c r="F31" s="84" t="s">
        <v>123</v>
      </c>
      <c r="G31" s="76">
        <f>AVERAGE(_xlfn.XLOOKUP($B31,'AC and RGM only'!$K$1:$K$150,'AC and RGM only'!$N$1:$T$150))</f>
        <v>0.16142857142857142</v>
      </c>
      <c r="H31" s="77">
        <f>VALUE((_xlfn.XLOOKUP("*"&amp;($C31)&amp;"*",'STOCK ON HAND'!$F$1:$F$200,'STOCK ON HAND'!$H$1:$H$200,,2))/$E31)</f>
        <v>0.87</v>
      </c>
      <c r="I31" s="78">
        <f t="shared" si="8"/>
        <v>5.3893805309734519</v>
      </c>
      <c r="J31" s="79">
        <f>SUMIFS('STOCK ON ORDER'!$L$2:$L$200,'STOCK ON ORDER'!$H$2:$H$200,VALUE($M31))</f>
        <v>1</v>
      </c>
      <c r="K31" s="80">
        <f t="shared" si="9"/>
        <v>1.6142857142857143</v>
      </c>
      <c r="L31" s="78">
        <f t="shared" si="10"/>
        <v>0</v>
      </c>
      <c r="M31" s="81">
        <v>39744</v>
      </c>
    </row>
    <row r="32" spans="2:13" ht="15.75" customHeight="1" x14ac:dyDescent="0.25">
      <c r="B32" s="71">
        <v>39746</v>
      </c>
      <c r="C32" s="72" t="s">
        <v>124</v>
      </c>
      <c r="D32" s="73"/>
      <c r="E32" s="83">
        <v>1000</v>
      </c>
      <c r="F32" s="84" t="s">
        <v>125</v>
      </c>
      <c r="G32" s="76">
        <f>AVERAGE(_xlfn.XLOOKUP($B32,'AC and RGM only'!$K$1:$K$150,'AC and RGM only'!$N$1:$T$150))</f>
        <v>0.16142857142857142</v>
      </c>
      <c r="H32" s="77">
        <f>VALUE((_xlfn.XLOOKUP("*"&amp;($C32)&amp;"*",'STOCK ON HAND'!$F$1:$F$200,'STOCK ON HAND'!$H$1:$H$200,,2))/$E32)</f>
        <v>1.4</v>
      </c>
      <c r="I32" s="78">
        <f t="shared" si="8"/>
        <v>8.6725663716814161</v>
      </c>
      <c r="J32" s="79">
        <f>SUMIFS('STOCK ON ORDER'!$L$2:$L$200,'STOCK ON ORDER'!$H$2:$H$200,VALUE($M32))</f>
        <v>0</v>
      </c>
      <c r="K32" s="80">
        <f t="shared" si="9"/>
        <v>1.6142857142857143</v>
      </c>
      <c r="L32" s="78">
        <f t="shared" si="10"/>
        <v>0.21428571428571441</v>
      </c>
      <c r="M32" s="85">
        <v>39746</v>
      </c>
    </row>
    <row r="33" spans="2:13" ht="15.75" customHeight="1" x14ac:dyDescent="0.25">
      <c r="B33" s="71">
        <v>39769</v>
      </c>
      <c r="C33" s="72" t="s">
        <v>126</v>
      </c>
      <c r="D33" s="73"/>
      <c r="E33" s="83">
        <v>1000</v>
      </c>
      <c r="F33" s="87" t="s">
        <v>127</v>
      </c>
      <c r="G33" s="76">
        <f>AVERAGE(_xlfn.XLOOKUP($B33,'AC and RGM only'!$K$1:$K$150,'AC and RGM only'!$N$1:$T$150))</f>
        <v>3.5714285714285712E-2</v>
      </c>
      <c r="H33" s="77">
        <f>VALUE((_xlfn.XLOOKUP("*"&amp;($C33)&amp;"*",'STOCK ON HAND'!$F$1:$F$200,'STOCK ON HAND'!$H$1:$H$200,,2))/$E33)</f>
        <v>0.31900000000000001</v>
      </c>
      <c r="I33" s="78">
        <f t="shared" si="8"/>
        <v>8.9320000000000004</v>
      </c>
      <c r="J33" s="79">
        <f>SUMIFS('STOCK ON ORDER'!$L$2:$L$200,'STOCK ON ORDER'!$H$2:$H$200,VALUE($M33))</f>
        <v>0</v>
      </c>
      <c r="K33" s="80">
        <f t="shared" si="9"/>
        <v>0.3571428571428571</v>
      </c>
      <c r="L33" s="78">
        <f t="shared" si="10"/>
        <v>3.814285714285709E-2</v>
      </c>
      <c r="M33" s="81">
        <v>39748</v>
      </c>
    </row>
    <row r="34" spans="2:13" ht="15.75" customHeight="1" x14ac:dyDescent="0.25">
      <c r="B34" s="88">
        <v>13529</v>
      </c>
      <c r="C34" s="72" t="s">
        <v>128</v>
      </c>
      <c r="D34" s="89"/>
      <c r="E34" s="83">
        <v>100</v>
      </c>
      <c r="F34" s="84" t="s">
        <v>129</v>
      </c>
      <c r="G34" s="76">
        <v>0.01</v>
      </c>
      <c r="H34" s="77">
        <f>VALUE((_xlfn.XLOOKUP("*"&amp;($C34)&amp;"*",'STOCK ON HAND'!$F$1:$F$200,'STOCK ON HAND'!$H$1:$H$200,,2))/$E34)</f>
        <v>-0.313</v>
      </c>
      <c r="I34" s="78">
        <f t="shared" si="8"/>
        <v>-31.3</v>
      </c>
      <c r="J34" s="79">
        <f>SUMIFS('STOCK ON ORDER'!$L$2:$L$200,'STOCK ON ORDER'!$H$2:$H$200,VALUE($M34))</f>
        <v>0</v>
      </c>
      <c r="K34" s="80">
        <f t="shared" si="9"/>
        <v>0.1</v>
      </c>
      <c r="L34" s="78">
        <f t="shared" si="10"/>
        <v>0.41300000000000003</v>
      </c>
      <c r="M34" s="85">
        <v>505798</v>
      </c>
    </row>
    <row r="35" spans="2:13" ht="16.5" customHeight="1" x14ac:dyDescent="0.25">
      <c r="B35" s="88">
        <v>37901</v>
      </c>
      <c r="C35" s="72" t="s">
        <v>130</v>
      </c>
      <c r="D35" s="89"/>
      <c r="E35" s="83">
        <v>3000</v>
      </c>
      <c r="F35" s="84" t="s">
        <v>131</v>
      </c>
      <c r="G35" s="76">
        <f>AVERAGE(_xlfn.XLOOKUP($B35,'AC and RGM only'!$K$1:$K$150,'AC and RGM only'!$N$1:$T$150))</f>
        <v>9.1428571428571442E-2</v>
      </c>
      <c r="H35" s="77">
        <f>VALUE((_xlfn.XLOOKUP("*"&amp;($C35)&amp;"*",'STOCK ON HAND'!$F$1:$F$200,'STOCK ON HAND'!$H$1:$H$200,,2))/$E35)</f>
        <v>0.23733333333333334</v>
      </c>
      <c r="I35" s="78">
        <f t="shared" ref="I35:I37" si="11">IF($G35=0,0,($H35*1/$G35))</f>
        <v>2.5958333333333332</v>
      </c>
      <c r="J35" s="79">
        <f>SUMIFS('STOCK ON ORDER'!$L$2:$L$200,'STOCK ON ORDER'!$H$2:$H$200,VALUE($M35))</f>
        <v>1</v>
      </c>
      <c r="K35" s="80">
        <f t="shared" si="9"/>
        <v>0.91428571428571437</v>
      </c>
      <c r="L35" s="78">
        <f t="shared" si="10"/>
        <v>0</v>
      </c>
      <c r="M35" s="81">
        <v>37901</v>
      </c>
    </row>
    <row r="36" spans="2:13" ht="15.75" customHeight="1" x14ac:dyDescent="0.25">
      <c r="B36" s="88">
        <v>37921</v>
      </c>
      <c r="C36" s="72" t="s">
        <v>132</v>
      </c>
      <c r="D36" s="89"/>
      <c r="E36" s="83">
        <v>3000</v>
      </c>
      <c r="F36" s="84" t="s">
        <v>133</v>
      </c>
      <c r="G36" s="76">
        <f>AVERAGE(_xlfn.XLOOKUP($B36,'AC and RGM only'!$K$1:$K$150,'AC and RGM only'!$N$1:$T$150))</f>
        <v>5.4285714285714291E-2</v>
      </c>
      <c r="H36" s="77">
        <f>VALUE((_xlfn.XLOOKUP("*"&amp;($C36)&amp;"*",'STOCK ON HAND'!$F$1:$F$200,'STOCK ON HAND'!$H$1:$H$200,,2))/$E36)</f>
        <v>1.3376666666666666</v>
      </c>
      <c r="I36" s="78">
        <f t="shared" si="11"/>
        <v>24.641228070175433</v>
      </c>
      <c r="J36" s="79">
        <f>SUMIFS('STOCK ON ORDER'!$L$2:$L$200,'STOCK ON ORDER'!$H$2:$H$200,VALUE($M36))</f>
        <v>0</v>
      </c>
      <c r="K36" s="80">
        <f t="shared" si="9"/>
        <v>0.54285714285714293</v>
      </c>
      <c r="L36" s="78">
        <f t="shared" si="10"/>
        <v>0</v>
      </c>
      <c r="M36" s="85">
        <v>37921</v>
      </c>
    </row>
    <row r="37" spans="2:13" ht="15.75" customHeight="1" x14ac:dyDescent="0.25">
      <c r="B37" s="88">
        <v>37999</v>
      </c>
      <c r="C37" s="72" t="s">
        <v>134</v>
      </c>
      <c r="D37" s="89"/>
      <c r="E37" s="83">
        <v>5000</v>
      </c>
      <c r="F37" s="84" t="s">
        <v>135</v>
      </c>
      <c r="G37" s="76">
        <f>AVERAGE(_xlfn.XLOOKUP($B37,'AC and RGM only'!$K$1:$K$150,'AC and RGM only'!$N$1:$T$150))</f>
        <v>0.10142857142857144</v>
      </c>
      <c r="H37" s="77">
        <f>VALUE((_xlfn.XLOOKUP("*"&amp;($C37)&amp;"*",'STOCK ON HAND'!$F$1:$F$200,'STOCK ON HAND'!$H$1:$H$200,,2))/$E37)</f>
        <v>1.4521999999999999</v>
      </c>
      <c r="I37" s="78">
        <f t="shared" si="11"/>
        <v>14.317464788732392</v>
      </c>
      <c r="J37" s="79">
        <f>SUMIFS('STOCK ON ORDER'!$L$2:$L$200,'STOCK ON ORDER'!$H$2:$H$200,VALUE($M37))</f>
        <v>0</v>
      </c>
      <c r="K37" s="80">
        <f t="shared" si="9"/>
        <v>1.0142857142857145</v>
      </c>
      <c r="L37" s="78">
        <f t="shared" si="10"/>
        <v>0</v>
      </c>
      <c r="M37" s="81">
        <v>37999</v>
      </c>
    </row>
  </sheetData>
  <mergeCells count="3">
    <mergeCell ref="F2:L3"/>
    <mergeCell ref="M2:N5"/>
    <mergeCell ref="B3:B5"/>
  </mergeCells>
  <conditionalFormatting sqref="A6:A37">
    <cfRule type="expression" dxfId="51" priority="184">
      <formula>AND($A6&lt;&gt;"",$F6&lt;&gt;"",SUMPRODUCT(--ISNUMBER(SEARCH(" "&amp;TRIM(MID(SUBSTITUTE(" "&amp;$F6&amp;" "," ",REPT(" ",100)),(ROW(INDIRECT("1:"&amp;(LEN($F6)-LEN(SUBSTITUTE($F6," ",""))+1))))*100,100))&amp;" "," "&amp;$A6&amp;" ")))&gt;=1)</formula>
    </cfRule>
    <cfRule type="expression" dxfId="50" priority="185">
      <formula>AND($A6&lt;&gt;"",$F6&lt;&gt;"",SUMPRODUCT(--ISNUMBER(SEARCH(" "&amp;TRIM(MID(SUBSTITUTE(" "&amp;$F6&amp;" "," ",REPT(" ",100)),(ROW(INDIRECT("1:"&amp;(LEN($F6)-LEN(SUBSTITUTE($F6," ",""))+1))))*100,100))&amp;" "," "&amp;$A6&amp;" ")))=0)</formula>
    </cfRule>
  </conditionalFormatting>
  <conditionalFormatting sqref="G6:H37">
    <cfRule type="expression" dxfId="49" priority="2">
      <formula>AND($I6&lt;5,$J6+$H6&lt;$G6*5)</formula>
    </cfRule>
  </conditionalFormatting>
  <conditionalFormatting sqref="I6:I37">
    <cfRule type="expression" dxfId="48" priority="25">
      <formula>AND(ISNUMBER(I6), I6&lt;5)</formula>
    </cfRule>
  </conditionalFormatting>
  <conditionalFormatting sqref="I7:K37">
    <cfRule type="expression" dxfId="47" priority="13">
      <formula>AND($I7&lt;5,$J7+$H7&lt;$G7*5)</formula>
    </cfRule>
  </conditionalFormatting>
  <conditionalFormatting sqref="I6:L6">
    <cfRule type="expression" dxfId="46" priority="173">
      <formula>AND($I6&lt;5,$J6+$H6&lt;$G6*5)</formula>
    </cfRule>
  </conditionalFormatting>
  <conditionalFormatting sqref="L6:L37">
    <cfRule type="expression" dxfId="45" priority="128">
      <formula>L6&gt;0</formula>
    </cfRule>
    <cfRule type="cellIs" dxfId="44" priority="130" operator="equal">
      <formula>0</formula>
    </cfRule>
  </conditionalFormatting>
  <conditionalFormatting sqref="L7:L37">
    <cfRule type="expression" dxfId="43" priority="129">
      <formula>AND($I7&lt;5,$J7+$H7&lt;$G7*5)</formula>
    </cfRule>
  </conditionalFormatting>
  <dataValidations count="1">
    <dataValidation showInputMessage="1" showErrorMessage="1" sqref="L6:L37 H6:H37" xr:uid="{00000000-0002-0000-0200-000000000000}"/>
  </dataValidations>
  <pageMargins left="0.7" right="0.7" top="1.3149999999999999" bottom="0.75" header="0.3" footer="0.3"/>
  <pageSetup paperSize="9" scale="84" fitToHeight="0" orientation="landscape" useFirstPageNumber="1" horizontalDpi="4294967295" verticalDpi="4294967295" r:id="rId1"/>
  <headerFooter>
    <oddFooter>&amp;L_x000D_&amp;1#&amp;"Aptos"&amp;10&amp;K000000 Collins Foods - Internal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79998168889431442"/>
    <pageSetUpPr fitToPage="1"/>
  </sheetPr>
  <dimension ref="A1:N32"/>
  <sheetViews>
    <sheetView showGridLines="0" topLeftCell="C1" zoomScaleNormal="100" workbookViewId="0">
      <selection activeCell="J28" sqref="J28"/>
    </sheetView>
  </sheetViews>
  <sheetFormatPr defaultColWidth="9.140625" defaultRowHeight="15" x14ac:dyDescent="0.25"/>
  <cols>
    <col min="1" max="1" width="2.7109375" style="36" hidden="1" customWidth="1"/>
    <col min="2" max="2" width="9.140625" style="2" hidden="1" customWidth="1"/>
    <col min="3" max="3" width="9.140625" style="36" customWidth="1"/>
    <col min="4" max="4" width="10.28515625" style="2" hidden="1" customWidth="1"/>
    <col min="5" max="5" width="23.7109375" style="36" customWidth="1"/>
    <col min="6" max="11" width="20.7109375" style="36" customWidth="1"/>
    <col min="12" max="12" width="9.140625" style="36" hidden="1" customWidth="1"/>
    <col min="13" max="13" width="9.140625" style="36" customWidth="1"/>
    <col min="14" max="16384" width="9.140625" style="36"/>
  </cols>
  <sheetData>
    <row r="1" spans="1:14" x14ac:dyDescent="0.25">
      <c r="B1" s="64"/>
    </row>
    <row r="2" spans="1:14" ht="15" customHeight="1" x14ac:dyDescent="0.25">
      <c r="A2" s="65"/>
      <c r="B2" s="64"/>
      <c r="E2" s="156" t="s">
        <v>136</v>
      </c>
      <c r="F2" s="157"/>
      <c r="G2" s="157"/>
      <c r="H2" s="157"/>
      <c r="I2" s="157"/>
      <c r="J2" s="157"/>
      <c r="K2" s="157"/>
      <c r="L2" s="158" t="s">
        <v>64</v>
      </c>
    </row>
    <row r="3" spans="1:14" ht="15" customHeight="1" x14ac:dyDescent="0.25">
      <c r="A3" s="66"/>
      <c r="B3" s="159" t="s">
        <v>65</v>
      </c>
      <c r="E3" s="156"/>
      <c r="F3" s="157"/>
      <c r="G3" s="157"/>
      <c r="H3" s="157"/>
      <c r="I3" s="157"/>
      <c r="J3" s="157"/>
      <c r="K3" s="157"/>
      <c r="L3" s="158"/>
    </row>
    <row r="4" spans="1:14" ht="3.75" customHeight="1" x14ac:dyDescent="0.25">
      <c r="A4" s="66"/>
      <c r="B4" s="159"/>
      <c r="E4" s="68"/>
      <c r="F4" s="68"/>
      <c r="G4" s="68"/>
      <c r="H4" s="68"/>
      <c r="I4" s="68"/>
      <c r="J4" s="68"/>
      <c r="L4" s="158"/>
    </row>
    <row r="5" spans="1:14" ht="15.75" customHeight="1" x14ac:dyDescent="0.25">
      <c r="A5" s="66"/>
      <c r="B5" s="160"/>
      <c r="D5" s="70" t="s">
        <v>66</v>
      </c>
      <c r="E5" s="70" t="s">
        <v>30</v>
      </c>
      <c r="F5" s="90" t="s">
        <v>67</v>
      </c>
      <c r="G5" s="90" t="s">
        <v>68</v>
      </c>
      <c r="H5" s="90" t="s">
        <v>69</v>
      </c>
      <c r="I5" s="90" t="s">
        <v>70</v>
      </c>
      <c r="J5" s="90" t="s">
        <v>71</v>
      </c>
      <c r="K5" s="90" t="s">
        <v>72</v>
      </c>
      <c r="L5" s="158"/>
    </row>
    <row r="6" spans="1:14" ht="15" customHeight="1" x14ac:dyDescent="0.25">
      <c r="A6" s="36" t="str">
        <f>IFERROR(VLOOKUP($B6,'AC and RGM only'!$K$2:$L$250,2,FALSE),"")</f>
        <v>CHICKEN CRISPY</v>
      </c>
      <c r="B6" s="91">
        <v>40303</v>
      </c>
      <c r="C6" s="73"/>
      <c r="D6" s="92">
        <f>6*41</f>
        <v>246</v>
      </c>
      <c r="E6" s="75" t="s">
        <v>137</v>
      </c>
      <c r="F6" s="76">
        <f>AVERAGE(_xlfn.XLOOKUP($B6,'AC and RGM only'!$K$1:$K$150,'AC and RGM only'!$N$1:$T$150))</f>
        <v>0.35857142857142854</v>
      </c>
      <c r="G6" s="77">
        <f t="array" ref="G6">_xlfn.XLOOKUP($B6,VALUE('STOCK ON HAND'!$E$1:$E$200),'STOCK ON HAND'!$H$1:$H$200,0)/D6</f>
        <v>1.1300813008130082</v>
      </c>
      <c r="H6" s="78">
        <f t="shared" ref="H6:H18" si="0">IF($F6=0,0,($G6*1/$F6))</f>
        <v>3.1516211576458399</v>
      </c>
      <c r="I6" s="79">
        <f>SUMIFS('STOCK ON ORDER'!$L$2:$L$200,'STOCK ON ORDER'!$H$2:$H$200,VALUE($L6))</f>
        <v>2</v>
      </c>
      <c r="J6" s="80">
        <f t="shared" ref="J6" si="1">F6*10</f>
        <v>3.5857142857142854</v>
      </c>
      <c r="K6" s="78">
        <f>IF(H6&gt;10,0,IFERROR(MAX(0,J6-G6-I6),0))</f>
        <v>0.45563298490127746</v>
      </c>
      <c r="L6" s="85">
        <v>40303</v>
      </c>
      <c r="N6" s="63"/>
    </row>
    <row r="7" spans="1:14" x14ac:dyDescent="0.25">
      <c r="A7" s="36" t="str">
        <f>IFERROR(VLOOKUP($B7,'AC and RGM only'!$K$2:$L$250,2,FALSE),"")</f>
        <v>BEANS BLACK COOKED</v>
      </c>
      <c r="B7" s="93">
        <v>37862</v>
      </c>
      <c r="C7" s="73"/>
      <c r="D7" s="83">
        <v>12</v>
      </c>
      <c r="E7" s="84" t="s">
        <v>138</v>
      </c>
      <c r="F7" s="76">
        <f>AVERAGE(_xlfn.XLOOKUP($B7,'AC and RGM only'!$K$1:$K$150,'AC and RGM only'!$N$1:$T$150))</f>
        <v>0.60285714285714287</v>
      </c>
      <c r="G7" s="77">
        <f t="array" ref="G7">_xlfn.XLOOKUP($B7,VALUE('STOCK ON HAND'!$E$1:$E$200),'STOCK ON HAND'!$H$1:$H$200,0)/D7</f>
        <v>0.39999999999999997</v>
      </c>
      <c r="H7" s="78">
        <f>IF($F7=0,0,($G7*1/$F7))</f>
        <v>0.6635071090047393</v>
      </c>
      <c r="I7" s="79">
        <f>SUMIFS('STOCK ON ORDER'!$L$2:$L$200,'STOCK ON ORDER'!$H$2:$H$200,$L7)</f>
        <v>5</v>
      </c>
      <c r="J7" s="80">
        <f t="shared" ref="J7:J14" si="2">F7*10</f>
        <v>6.0285714285714285</v>
      </c>
      <c r="K7" s="78">
        <f t="shared" ref="K7:K14" si="3">IF(H7&gt;10,0,IFERROR(MAX(0,J7-G7-I7),0))</f>
        <v>0.62857142857142811</v>
      </c>
      <c r="L7" s="94" t="s">
        <v>139</v>
      </c>
      <c r="N7" s="63"/>
    </row>
    <row r="8" spans="1:14" x14ac:dyDescent="0.25">
      <c r="A8" s="36" t="str">
        <f>IFERROR(VLOOKUP($B8,'AC and RGM only'!$K$2:$L$250,2,FALSE),"")</f>
        <v>CHIP NACHO CORN</v>
      </c>
      <c r="B8" s="93">
        <v>37887</v>
      </c>
      <c r="C8" s="73"/>
      <c r="D8" s="83">
        <v>4.5</v>
      </c>
      <c r="E8" s="84" t="s">
        <v>140</v>
      </c>
      <c r="F8" s="76">
        <f>AVERAGE(_xlfn.XLOOKUP($B8,'AC and RGM only'!$K$1:$K$150,'AC and RGM only'!$N$1:$T$150))</f>
        <v>0.66</v>
      </c>
      <c r="G8" s="77">
        <f t="array" ref="G8">_xlfn.XLOOKUP($B8,VALUE('STOCK ON HAND'!$E$1:$E$200),'STOCK ON HAND'!$H$1:$H$200,0)/D8</f>
        <v>3.7066666666666666</v>
      </c>
      <c r="H8" s="78">
        <f t="shared" si="0"/>
        <v>5.6161616161616159</v>
      </c>
      <c r="I8" s="79">
        <f>SUMIFS('STOCK ON ORDER'!$L$2:$L$200,'STOCK ON ORDER'!$H$2:$H$200,VALUE($L8))</f>
        <v>5</v>
      </c>
      <c r="J8" s="80">
        <f>F8*13</f>
        <v>8.58</v>
      </c>
      <c r="K8" s="78">
        <f>IF(H8&gt;13,0,IFERROR(MAX(0,J8-G8-I8),0))</f>
        <v>0</v>
      </c>
      <c r="L8" s="85">
        <v>39009</v>
      </c>
      <c r="N8" s="63"/>
    </row>
    <row r="9" spans="1:14" x14ac:dyDescent="0.25">
      <c r="A9" s="36" t="str">
        <f>IFERROR(VLOOKUP($B9,'AC and RGM only'!$K$2:$L$250,2,FALSE),"")</f>
        <v>CHURROS MINI</v>
      </c>
      <c r="B9" s="93">
        <v>37897</v>
      </c>
      <c r="C9" s="73"/>
      <c r="D9" s="83">
        <v>72</v>
      </c>
      <c r="E9" s="84" t="s">
        <v>141</v>
      </c>
      <c r="F9" s="76">
        <f>AVERAGE(_xlfn.XLOOKUP($B9,'AC and RGM only'!$K$1:$K$150,'AC and RGM only'!$N$1:$T$150))</f>
        <v>0.39428571428571429</v>
      </c>
      <c r="G9" s="77">
        <f t="array" ref="G9">_xlfn.XLOOKUP($B9,VALUE('STOCK ON HAND'!$E$1:$E$200),'STOCK ON HAND'!$H$1:$H$200,0)/D9</f>
        <v>3.1944444444444446</v>
      </c>
      <c r="H9" s="78">
        <f t="shared" si="0"/>
        <v>8.101851851851853</v>
      </c>
      <c r="I9" s="79">
        <f>SUMIFS('STOCK ON ORDER'!$L$2:$L$200,'STOCK ON ORDER'!$H$2:$H$200,VALUE($L9))</f>
        <v>0</v>
      </c>
      <c r="J9" s="80">
        <f>F9*10</f>
        <v>3.9428571428571431</v>
      </c>
      <c r="K9" s="78">
        <f t="shared" si="3"/>
        <v>0.74841269841269842</v>
      </c>
      <c r="L9" s="94">
        <v>37897</v>
      </c>
      <c r="N9" s="63"/>
    </row>
    <row r="10" spans="1:14" x14ac:dyDescent="0.25">
      <c r="A10" s="36" t="str">
        <f>IFERROR(VLOOKUP($B10,'AC and RGM only'!$K$2:$L$250,2,FALSE),"")</f>
        <v>FLATBREAD</v>
      </c>
      <c r="B10" s="93">
        <v>37895</v>
      </c>
      <c r="C10" s="73"/>
      <c r="D10" s="83">
        <f>24*6</f>
        <v>144</v>
      </c>
      <c r="E10" s="84" t="s">
        <v>142</v>
      </c>
      <c r="F10" s="76">
        <f>AVERAGE(_xlfn.XLOOKUP($B10,'AC and RGM only'!$K$1:$K$150,'AC and RGM only'!$N$1:$T$150))</f>
        <v>0.64714285714285702</v>
      </c>
      <c r="G10" s="77">
        <f t="array" ref="G10">_xlfn.XLOOKUP($B10,VALUE('STOCK ON HAND'!$E$1:$E$200),'STOCK ON HAND'!$H$1:$H$200,0)/D10</f>
        <v>3.1388888888888888</v>
      </c>
      <c r="H10" s="78">
        <f t="shared" si="0"/>
        <v>4.8503801815060106</v>
      </c>
      <c r="I10" s="79">
        <f>SUMIFS('STOCK ON ORDER'!$L$2:$L$200,'STOCK ON ORDER'!$H$2:$H$200,VALUE($L10))</f>
        <v>5</v>
      </c>
      <c r="J10" s="80">
        <f>F10*13</f>
        <v>8.4128571428571419</v>
      </c>
      <c r="K10" s="78">
        <f>IF(H10&gt;13,0,IFERROR(MAX(0,J10-G10-I10),0))</f>
        <v>0.27396825396825264</v>
      </c>
      <c r="L10" s="85">
        <v>38620</v>
      </c>
      <c r="N10" s="63"/>
    </row>
    <row r="11" spans="1:14" x14ac:dyDescent="0.25">
      <c r="A11" s="36" t="str">
        <f>IFERROR(VLOOKUP($B11,'AC and RGM only'!$K$2:$L$250,2,FALSE),"")</f>
        <v>FRIES SURECRISP</v>
      </c>
      <c r="B11" s="93">
        <v>15049</v>
      </c>
      <c r="C11" s="73"/>
      <c r="D11" s="83">
        <v>12</v>
      </c>
      <c r="E11" s="84" t="s">
        <v>143</v>
      </c>
      <c r="F11" s="76">
        <f>AVERAGE(_xlfn.XLOOKUP($B11,'AC and RGM only'!$K$1:$K$150,'AC and RGM only'!$N$1:$T$150))</f>
        <v>4.4800000000000004</v>
      </c>
      <c r="G11" s="77">
        <f t="array" ref="G11">_xlfn.XLOOKUP($B11,VALUE('STOCK ON HAND'!$E$1:$E$200),'STOCK ON HAND'!$H$1:$H$200,0)/D11</f>
        <v>22.977500000000003</v>
      </c>
      <c r="H11" s="78">
        <f t="shared" si="0"/>
        <v>5.12890625</v>
      </c>
      <c r="I11" s="79">
        <f>SUMIFS('STOCK ON ORDER'!$L$2:$L$200,'STOCK ON ORDER'!$H$2:$H$200,VALUE($L11))</f>
        <v>28</v>
      </c>
      <c r="J11" s="80">
        <f>F11*13</f>
        <v>58.240000000000009</v>
      </c>
      <c r="K11" s="78">
        <f t="shared" si="3"/>
        <v>7.2625000000000028</v>
      </c>
      <c r="L11" s="94">
        <v>40109</v>
      </c>
      <c r="N11" s="63"/>
    </row>
    <row r="12" spans="1:14" x14ac:dyDescent="0.25">
      <c r="A12" s="36" t="str">
        <f>IFERROR(VLOOKUP($B12,'AC and RGM only'!$K$2:$L$250,2,FALSE),"")</f>
        <v>GUACAMOLE</v>
      </c>
      <c r="B12" s="93">
        <v>14791</v>
      </c>
      <c r="C12" s="73"/>
      <c r="D12" s="83">
        <f>6*1.5</f>
        <v>9</v>
      </c>
      <c r="E12" s="84" t="s">
        <v>144</v>
      </c>
      <c r="F12" s="76">
        <f>AVERAGE(_xlfn.XLOOKUP($B12,'AC and RGM only'!$K$1:$K$150,'AC and RGM only'!$N$1:$T$150))</f>
        <v>0.24000000000000002</v>
      </c>
      <c r="G12" s="77">
        <f t="array" ref="G12">_xlfn.XLOOKUP($B12,VALUE('STOCK ON HAND'!$E$1:$E$200),'STOCK ON HAND'!$H$1:$H$200,0)/D12</f>
        <v>1.8077777777777777</v>
      </c>
      <c r="H12" s="78">
        <f t="shared" si="0"/>
        <v>7.5324074074074066</v>
      </c>
      <c r="I12" s="79">
        <f>SUMIFS('STOCK ON ORDER'!$L$2:$L$200,'STOCK ON ORDER'!$H$2:$H$200,VALUE($L12))</f>
        <v>1</v>
      </c>
      <c r="J12" s="80">
        <f t="shared" si="2"/>
        <v>2.4000000000000004</v>
      </c>
      <c r="K12" s="78">
        <f>IF(H12&gt;10,0,IFERROR(MAX(0,J12-G12-I12),0))</f>
        <v>0</v>
      </c>
      <c r="L12" s="85">
        <v>14791</v>
      </c>
      <c r="N12" s="63"/>
    </row>
    <row r="13" spans="1:14" x14ac:dyDescent="0.25">
      <c r="A13" s="36" t="str">
        <f>IFERROR(VLOOKUP($B13,'AC and RGM only'!$K$2:$L$250,2,FALSE),"")</f>
        <v>MEAT BEEF COOKED</v>
      </c>
      <c r="B13" s="93">
        <v>39520</v>
      </c>
      <c r="C13" s="73"/>
      <c r="D13" s="83">
        <f>8*1.85</f>
        <v>14.8</v>
      </c>
      <c r="E13" s="84" t="s">
        <v>145</v>
      </c>
      <c r="F13" s="76">
        <f>AVERAGE(_xlfn.XLOOKUP($B13,'AC and RGM only'!$K$1:$K$150,'AC and RGM only'!$N$1:$T$150))</f>
        <v>1.5871428571428574</v>
      </c>
      <c r="G13" s="77">
        <f t="array" ref="G13">_xlfn.XLOOKUP($B13,VALUE('STOCK ON HAND'!$E$1:$E$200),'STOCK ON HAND'!$H$1:$H$200,0)/D13</f>
        <v>7.8587837837837835</v>
      </c>
      <c r="H13" s="78">
        <f t="shared" si="0"/>
        <v>4.9515289366774509</v>
      </c>
      <c r="I13" s="79">
        <f>SUMIFS('STOCK ON ORDER'!$L$2:$L$200,'STOCK ON ORDER'!$H$2:$H$200,VALUE($L13))</f>
        <v>10</v>
      </c>
      <c r="J13" s="80">
        <f>F13*13</f>
        <v>20.632857142857148</v>
      </c>
      <c r="K13" s="78">
        <f>IF(H13&gt;13,0,IFERROR(MAX(0,J13-G13-I13),0))</f>
        <v>2.7740733590733644</v>
      </c>
      <c r="L13" s="94">
        <v>39520</v>
      </c>
      <c r="N13" s="63"/>
    </row>
    <row r="14" spans="1:14" x14ac:dyDescent="0.25">
      <c r="A14" s="36" t="str">
        <f>IFERROR(VLOOKUP($B14,'AC and RGM only'!$K$2:$L$250,2,FALSE),"")</f>
        <v>MEAT CHICKEN COOKED</v>
      </c>
      <c r="B14" s="93">
        <v>39139</v>
      </c>
      <c r="C14" s="73"/>
      <c r="D14" s="83">
        <v>6</v>
      </c>
      <c r="E14" s="84" t="s">
        <v>146</v>
      </c>
      <c r="F14" s="76">
        <f>AVERAGE(_xlfn.XLOOKUP($B14,'AC and RGM only'!$K$1:$K$150,'AC and RGM only'!$N$1:$T$150))</f>
        <v>1.6157142857142854</v>
      </c>
      <c r="G14" s="77">
        <f t="array" ref="G14">_xlfn.XLOOKUP($B14,VALUE('STOCK ON HAND'!$E$1:$E$200),'STOCK ON HAND'!$H$1:$H$200,0)/D14</f>
        <v>3.83</v>
      </c>
      <c r="H14" s="78">
        <f t="shared" si="0"/>
        <v>2.3704686118479228</v>
      </c>
      <c r="I14" s="79">
        <f>SUMIFS('STOCK ON ORDER'!$L$2:$L$200,'STOCK ON ORDER'!$H$2:$H$200,$L14)</f>
        <v>10</v>
      </c>
      <c r="J14" s="80">
        <f t="shared" si="2"/>
        <v>16.157142857142855</v>
      </c>
      <c r="K14" s="78">
        <f t="shared" si="3"/>
        <v>2.3271428571428547</v>
      </c>
      <c r="L14" s="85" t="s">
        <v>147</v>
      </c>
      <c r="N14" s="63"/>
    </row>
    <row r="15" spans="1:14" x14ac:dyDescent="0.25">
      <c r="A15" s="36" t="str">
        <f>IFERROR(VLOOKUP($B15,'AC and RGM only'!$K$2:$L$250,2,FALSE),"")</f>
        <v>TORTILLA CORN 6 INCH</v>
      </c>
      <c r="B15" s="93">
        <v>37891</v>
      </c>
      <c r="C15" s="73"/>
      <c r="D15" s="83">
        <f>12*36</f>
        <v>432</v>
      </c>
      <c r="E15" s="84" t="s">
        <v>148</v>
      </c>
      <c r="F15" s="76">
        <f>AVERAGE(_xlfn.XLOOKUP($B15,'AC and RGM only'!$K$1:$K$150,'AC and RGM only'!$N$1:$T$150))</f>
        <v>0.71714285714285708</v>
      </c>
      <c r="G15" s="77">
        <f t="array" ref="G15">_xlfn.XLOOKUP($B15,VALUE('STOCK ON HAND'!$E$1:$E$200),'STOCK ON HAND'!$H$1:$H$200,0)/D15</f>
        <v>3.2106481481481484</v>
      </c>
      <c r="H15" s="78">
        <f t="shared" si="0"/>
        <v>4.476999409768335</v>
      </c>
      <c r="I15" s="79">
        <f>SUMIFS('STOCK ON ORDER'!$L$2:$L$200,'STOCK ON ORDER'!$H$2:$H$200,VALUE($L15))</f>
        <v>5</v>
      </c>
      <c r="J15" s="80">
        <f>F15*13</f>
        <v>9.3228571428571421</v>
      </c>
      <c r="K15" s="78">
        <f>IF(H15&gt;13,0,IFERROR(MAX(0,J15-G15-I15),0))</f>
        <v>1.1122089947089933</v>
      </c>
      <c r="L15" s="94">
        <v>37891</v>
      </c>
      <c r="N15" s="63"/>
    </row>
    <row r="16" spans="1:14" x14ac:dyDescent="0.25">
      <c r="A16" s="36" t="str">
        <f>IFERROR(VLOOKUP($B16,'AC and RGM only'!$K$2:$L$250,2,FALSE),"")</f>
        <v>TORTILLA FLOUR 10.25INCH</v>
      </c>
      <c r="B16" s="93">
        <v>37923</v>
      </c>
      <c r="C16" s="73"/>
      <c r="D16" s="83">
        <f>12*12</f>
        <v>144</v>
      </c>
      <c r="E16" s="84" t="s">
        <v>149</v>
      </c>
      <c r="F16" s="76">
        <f>AVERAGE(_xlfn.XLOOKUP($B16,'AC and RGM only'!$K$1:$K$150,'AC and RGM only'!$N$1:$T$150))</f>
        <v>0.95857142857142852</v>
      </c>
      <c r="G16" s="77">
        <f t="array" ref="G16">_xlfn.XLOOKUP($B16,VALUE('STOCK ON HAND'!$E$1:$E$200),'STOCK ON HAND'!$H$1:$H$200,0)/D16</f>
        <v>5.2361111111111107</v>
      </c>
      <c r="H16" s="78">
        <f t="shared" si="0"/>
        <v>5.4624109951978808</v>
      </c>
      <c r="I16" s="79">
        <f>SUMIFS('STOCK ON ORDER'!$L$2:$L$200,'STOCK ON ORDER'!$H$2:$H$200,VALUE($L16))</f>
        <v>6</v>
      </c>
      <c r="J16" s="80">
        <f>F16*13</f>
        <v>12.46142857142857</v>
      </c>
      <c r="K16" s="78">
        <f>IF(H16&gt;13,0,IFERROR(MAX(0,J16-G16-I16),0))</f>
        <v>1.2253174603174593</v>
      </c>
      <c r="L16" s="85">
        <v>37923</v>
      </c>
      <c r="N16" s="63"/>
    </row>
    <row r="17" spans="1:14" x14ac:dyDescent="0.25">
      <c r="A17" s="36" t="str">
        <f>IFERROR(VLOOKUP($B17,'AC and RGM only'!$K$2:$L$250,2,FALSE),"")</f>
        <v>TORTILLA FLOUR 12INCH</v>
      </c>
      <c r="B17" s="93">
        <v>37925</v>
      </c>
      <c r="C17" s="73"/>
      <c r="D17" s="83">
        <v>144</v>
      </c>
      <c r="E17" s="84" t="s">
        <v>150</v>
      </c>
      <c r="F17" s="76">
        <f>AVERAGE(_xlfn.XLOOKUP($B17,'AC and RGM only'!$K$1:$K$150,'AC and RGM only'!$N$1:$T$150))</f>
        <v>0.95857142857142852</v>
      </c>
      <c r="G17" s="77">
        <f t="array" ref="G17">_xlfn.XLOOKUP($B17,VALUE('STOCK ON HAND'!$E$1:$E$200),'STOCK ON HAND'!$H$1:$H$200,0)/D17</f>
        <v>3.3333333333333335</v>
      </c>
      <c r="H17" s="78">
        <f t="shared" si="0"/>
        <v>3.4773969200198711</v>
      </c>
      <c r="I17" s="79">
        <f>SUMIFS('STOCK ON ORDER'!$L$2:$L$200,'STOCK ON ORDER'!$H$2:$H$200,VALUE($L17))</f>
        <v>8</v>
      </c>
      <c r="J17" s="80">
        <f>F17*13</f>
        <v>12.46142857142857</v>
      </c>
      <c r="K17" s="78">
        <f t="shared" ref="K17:K18" si="4">IF(H17&gt;13,0,IFERROR(MAX(0,J17-G17-I17),0))</f>
        <v>1.128095238095236</v>
      </c>
      <c r="L17" s="94">
        <v>37925</v>
      </c>
      <c r="N17" s="63"/>
    </row>
    <row r="18" spans="1:14" x14ac:dyDescent="0.25">
      <c r="A18" s="36" t="str">
        <f>IFERROR(VLOOKUP($B18,'AC and RGM only'!$K$2:$L$250,2,FALSE),"")</f>
        <v>TORTILLA FLOUR 6.5INCH</v>
      </c>
      <c r="B18" s="93">
        <v>37927</v>
      </c>
      <c r="C18" s="73"/>
      <c r="D18" s="83">
        <f>24*12</f>
        <v>288</v>
      </c>
      <c r="E18" s="84" t="s">
        <v>151</v>
      </c>
      <c r="F18" s="76">
        <f>AVERAGE(_xlfn.XLOOKUP($B18,'AC and RGM only'!$K$1:$K$150,'AC and RGM only'!$N$1:$T$150))</f>
        <v>0.25142857142857145</v>
      </c>
      <c r="G18" s="77">
        <f t="array" ref="G18">_xlfn.XLOOKUP($B18,VALUE('STOCK ON HAND'!$E$1:$E$200),'STOCK ON HAND'!$H$1:$H$200,0)/D18</f>
        <v>1.0451388888888888</v>
      </c>
      <c r="H18" s="78">
        <f t="shared" si="0"/>
        <v>4.1568023989898988</v>
      </c>
      <c r="I18" s="79">
        <f>SUMIFS('STOCK ON ORDER'!$L$2:$L$200,'STOCK ON ORDER'!$H$2:$H$200,VALUE($L18))</f>
        <v>2</v>
      </c>
      <c r="J18" s="80">
        <f>F18*13</f>
        <v>3.2685714285714287</v>
      </c>
      <c r="K18" s="78">
        <f t="shared" si="4"/>
        <v>0.22343253968253984</v>
      </c>
      <c r="L18" s="85">
        <v>37927</v>
      </c>
      <c r="N18" s="63"/>
    </row>
    <row r="19" spans="1:14" x14ac:dyDescent="0.25">
      <c r="B19" s="36"/>
    </row>
    <row r="20" spans="1:14" ht="15" customHeight="1" x14ac:dyDescent="0.25">
      <c r="A20" s="73"/>
      <c r="B20" s="73"/>
      <c r="C20" s="73"/>
      <c r="D20" s="95"/>
      <c r="E20" s="237" t="s">
        <v>152</v>
      </c>
      <c r="F20" s="238"/>
      <c r="G20" s="238"/>
      <c r="H20" s="238"/>
      <c r="I20" s="238"/>
      <c r="J20" s="238"/>
      <c r="K20" s="238"/>
      <c r="L20" s="96"/>
    </row>
    <row r="21" spans="1:14" ht="15" customHeight="1" x14ac:dyDescent="0.25">
      <c r="A21" s="73"/>
      <c r="B21" s="73"/>
      <c r="C21" s="73"/>
      <c r="D21" s="95"/>
      <c r="E21" s="156"/>
      <c r="F21" s="157"/>
      <c r="G21" s="157"/>
      <c r="H21" s="157"/>
      <c r="I21" s="157"/>
      <c r="J21" s="157"/>
      <c r="K21" s="157"/>
      <c r="L21" s="96"/>
    </row>
    <row r="22" spans="1:14" ht="3.75" customHeight="1" x14ac:dyDescent="0.25">
      <c r="A22" s="73"/>
      <c r="B22" s="73"/>
      <c r="C22" s="73"/>
      <c r="D22" s="95"/>
      <c r="E22" s="97"/>
      <c r="F22" s="97"/>
      <c r="G22" s="97"/>
      <c r="H22" s="97"/>
      <c r="I22" s="97"/>
      <c r="J22" s="97"/>
      <c r="K22" s="96"/>
      <c r="L22" s="96"/>
    </row>
    <row r="23" spans="1:14" ht="15.75" customHeight="1" x14ac:dyDescent="0.25">
      <c r="A23" s="73"/>
      <c r="B23" s="73"/>
      <c r="C23" s="73"/>
      <c r="D23" s="70" t="s">
        <v>66</v>
      </c>
      <c r="E23" s="70" t="s">
        <v>30</v>
      </c>
      <c r="F23" s="90" t="s">
        <v>67</v>
      </c>
      <c r="G23" s="90" t="s">
        <v>68</v>
      </c>
      <c r="H23" s="90" t="s">
        <v>69</v>
      </c>
      <c r="I23" s="90" t="s">
        <v>70</v>
      </c>
      <c r="J23" s="90" t="s">
        <v>71</v>
      </c>
      <c r="K23" s="90" t="s">
        <v>72</v>
      </c>
      <c r="L23" s="96"/>
    </row>
    <row r="24" spans="1:14" x14ac:dyDescent="0.25">
      <c r="A24" s="36" t="str">
        <f>IFERROR(VLOOKUP($B24,'AC and RGM only'!$K$2:$L$250,2,FALSE),"")</f>
        <v>CHEESE BLEND MOZZ/CHEDD (PIZZA) SHRED</v>
      </c>
      <c r="B24" s="91">
        <v>37876</v>
      </c>
      <c r="C24" s="73"/>
      <c r="D24" s="92">
        <v>12</v>
      </c>
      <c r="E24" s="75" t="s">
        <v>153</v>
      </c>
      <c r="F24" s="76">
        <f>AVERAGE(_xlfn.XLOOKUP($B24,'AC and RGM only'!$K$1:$K$150,'AC and RGM only'!$N$1:$T$150))</f>
        <v>0.39999999999999991</v>
      </c>
      <c r="G24" s="77">
        <f t="array" ref="G24">_xlfn.XLOOKUP($B24,VALUE('STOCK ON HAND'!$E$1:$E$200),'STOCK ON HAND'!$H$1:$H$200,0)/D24</f>
        <v>0.78500000000000003</v>
      </c>
      <c r="H24" s="78">
        <f t="shared" ref="H24:H32" si="5">IF($F24=0,0,($G24*1/$F24))</f>
        <v>1.9625000000000006</v>
      </c>
      <c r="I24" s="79">
        <f>SUMIFS('STOCK ON ORDER'!$L$2:$L$200,'STOCK ON ORDER'!$H$2:$H$200,VALUE($L24))</f>
        <v>3</v>
      </c>
      <c r="J24" s="80">
        <f t="shared" ref="J24" si="6">F24*10</f>
        <v>3.9999999999999991</v>
      </c>
      <c r="K24" s="78">
        <f>IF(H24&gt;10,0,IFERROR(MAX(0,J24-G24-I24),0))</f>
        <v>0.21499999999999897</v>
      </c>
      <c r="L24" s="85">
        <v>40266</v>
      </c>
    </row>
    <row r="25" spans="1:14" x14ac:dyDescent="0.25">
      <c r="A25" s="36" t="str">
        <f>IFERROR(VLOOKUP($B25,'AC and RGM only'!$K$2:$L$250,2,FALSE),"")</f>
        <v>CHEESE CHEDD ANGEL HAIR/ S'FINE SHRED</v>
      </c>
      <c r="B25" s="93">
        <v>37911</v>
      </c>
      <c r="C25" s="73"/>
      <c r="D25" s="83">
        <v>12</v>
      </c>
      <c r="E25" s="84" t="s">
        <v>154</v>
      </c>
      <c r="F25" s="76">
        <f>AVERAGE(_xlfn.XLOOKUP($B25,'AC and RGM only'!$K$1:$K$150,'AC and RGM only'!$N$1:$T$150))</f>
        <v>0.20285714285714287</v>
      </c>
      <c r="G25" s="77">
        <f t="array" ref="G25">_xlfn.XLOOKUP($B25,VALUE('STOCK ON HAND'!$E$1:$E$200),'STOCK ON HAND'!$H$1:$H$200,0)/D25</f>
        <v>1.2791666666666666</v>
      </c>
      <c r="H25" s="78">
        <f t="shared" si="5"/>
        <v>6.3057511737089191</v>
      </c>
      <c r="I25" s="79">
        <f>SUMIFS('STOCK ON ORDER'!$L$2:$L$200,'STOCK ON ORDER'!$H$2:$H$200,VALUE($L25))</f>
        <v>1</v>
      </c>
      <c r="J25" s="80">
        <f t="shared" ref="J25:J32" si="7">F25*10</f>
        <v>2.0285714285714289</v>
      </c>
      <c r="K25" s="78">
        <f t="shared" ref="K25:K32" si="8">IF(H25&gt;10,0,IFERROR(MAX(0,J25-G25-I25),0))</f>
        <v>0</v>
      </c>
      <c r="L25" s="94">
        <v>37911</v>
      </c>
    </row>
    <row r="26" spans="1:14" x14ac:dyDescent="0.25">
      <c r="A26" s="36" t="str">
        <f>IFERROR(VLOOKUP($B26,'AC and RGM only'!$K$2:$L$250,2,FALSE),"")</f>
        <v>LAVA SAUCE</v>
      </c>
      <c r="B26" s="93">
        <v>38701</v>
      </c>
      <c r="C26" s="73"/>
      <c r="D26" s="83">
        <v>10</v>
      </c>
      <c r="E26" s="84" t="s">
        <v>45</v>
      </c>
      <c r="F26" s="76">
        <f>AVERAGE(_xlfn.XLOOKUP($B26,'AC and RGM only'!$K$1:$K$150,'AC and RGM only'!$N$1:$T$150))</f>
        <v>7.571428571428572E-2</v>
      </c>
      <c r="G26" s="77">
        <f t="array" ref="G26">_xlfn.XLOOKUP($B26,VALUE('STOCK ON HAND'!$E$1:$E$200),'STOCK ON HAND'!$H$1:$H$200,0)/D26</f>
        <v>0.90100000000000002</v>
      </c>
      <c r="H26" s="78">
        <f t="shared" si="5"/>
        <v>11.899999999999999</v>
      </c>
      <c r="I26" s="79">
        <f>SUMIFS('STOCK ON ORDER'!$L$2:$L$200,'STOCK ON ORDER'!$H$2:$H$200,VALUE($L26))</f>
        <v>0</v>
      </c>
      <c r="J26" s="80">
        <f t="shared" si="7"/>
        <v>0.75714285714285723</v>
      </c>
      <c r="K26" s="78">
        <f t="shared" si="8"/>
        <v>0</v>
      </c>
      <c r="L26" s="85">
        <v>38701</v>
      </c>
    </row>
    <row r="27" spans="1:14" x14ac:dyDescent="0.25">
      <c r="A27" s="36" t="str">
        <f>IFERROR(VLOOKUP($B27,'AC and RGM only'!$K$2:$L$250,2,FALSE),"")</f>
        <v>OIL FRYING LIQUID CARGILL</v>
      </c>
      <c r="B27" s="93">
        <v>33312</v>
      </c>
      <c r="C27" s="73"/>
      <c r="D27" s="83">
        <v>15</v>
      </c>
      <c r="E27" s="84" t="s">
        <v>155</v>
      </c>
      <c r="F27" s="76">
        <f>AVERAGE(_xlfn.XLOOKUP($B27,'AC and RGM only'!$K$1:$K$150,'AC and RGM only'!$N$1:$T$150))</f>
        <v>0.53714285714285714</v>
      </c>
      <c r="G27" s="77">
        <f t="array" ref="G27">_xlfn.XLOOKUP($B27,VALUE('STOCK ON HAND'!$E$1:$E$200),'STOCK ON HAND'!$H$1:$H$200,0)/D27</f>
        <v>6.1553333333333331</v>
      </c>
      <c r="H27" s="78">
        <f t="shared" si="5"/>
        <v>11.459397163120567</v>
      </c>
      <c r="I27" s="79">
        <f>SUMIFS('STOCK ON ORDER'!$L$2:$L$200,'STOCK ON ORDER'!$H$2:$H$200,VALUE($L27))</f>
        <v>9</v>
      </c>
      <c r="J27" s="80">
        <v>8</v>
      </c>
      <c r="K27" s="78">
        <f>IFERROR(MAX(0,J27-G27-I27),0)</f>
        <v>0</v>
      </c>
      <c r="L27" s="94">
        <v>507825</v>
      </c>
    </row>
    <row r="28" spans="1:14" x14ac:dyDescent="0.25">
      <c r="A28" s="36" t="str">
        <f>IFERROR(VLOOKUP($B28,'AC and RGM only'!$K$2:$L$250,2,FALSE),"")</f>
        <v>SAUCE CHIPOTLE MAYO 1</v>
      </c>
      <c r="B28" s="93">
        <v>38493</v>
      </c>
      <c r="C28" s="73"/>
      <c r="D28" s="83">
        <v>15</v>
      </c>
      <c r="E28" s="84" t="s">
        <v>156</v>
      </c>
      <c r="F28" s="76">
        <f>AVERAGE(_xlfn.XLOOKUP($B28,'AC and RGM only'!$K$1:$K$150,'AC and RGM only'!$N$1:$T$150))</f>
        <v>0.15571428571428572</v>
      </c>
      <c r="G28" s="77">
        <f t="array" ref="G28">_xlfn.XLOOKUP($B28,VALUE('STOCK ON HAND'!$E$1:$E$200),'STOCK ON HAND'!$H$1:$H$200,0)/D28</f>
        <v>0.53800000000000003</v>
      </c>
      <c r="H28" s="78">
        <f t="shared" si="5"/>
        <v>3.4550458715596331</v>
      </c>
      <c r="I28" s="79">
        <f>SUMIFS('STOCK ON ORDER'!$L$2:$L$200,'STOCK ON ORDER'!$H$2:$H$200,VALUE($L28))</f>
        <v>1</v>
      </c>
      <c r="J28" s="80">
        <f t="shared" si="7"/>
        <v>1.5571428571428572</v>
      </c>
      <c r="K28" s="78">
        <f>IF(H28&gt;10,0,IFERROR(MAX(0,J28-G28-I28),0))</f>
        <v>1.9142857142857128E-2</v>
      </c>
      <c r="L28" s="85">
        <v>38493</v>
      </c>
    </row>
    <row r="29" spans="1:14" x14ac:dyDescent="0.25">
      <c r="A29" s="36" t="str">
        <f>IFERROR(VLOOKUP($B29,'AC and RGM only'!$K$2:$L$250,2,FALSE),"")</f>
        <v>SAUCE CREAMY JALAPENO</v>
      </c>
      <c r="B29" s="93">
        <v>38722</v>
      </c>
      <c r="C29" s="73"/>
      <c r="D29" s="83">
        <v>10</v>
      </c>
      <c r="E29" s="84" t="s">
        <v>157</v>
      </c>
      <c r="F29" s="76">
        <f>AVERAGE(_xlfn.XLOOKUP($B29,'AC and RGM only'!$K$1:$K$150,'AC and RGM only'!$N$1:$T$150))</f>
        <v>7.8571428571428584E-2</v>
      </c>
      <c r="G29" s="77">
        <f t="array" ref="G29">_xlfn.XLOOKUP($B29,VALUE('STOCK ON HAND'!$E$1:$E$200),'STOCK ON HAND'!$H$1:$H$200,0)/D29</f>
        <v>0.72599999999999998</v>
      </c>
      <c r="H29" s="78">
        <f t="shared" si="5"/>
        <v>9.2399999999999984</v>
      </c>
      <c r="I29" s="79">
        <f>SUMIFS('STOCK ON ORDER'!$L$2:$L$200,'STOCK ON ORDER'!$H$2:$H$200,VALUE($L29))</f>
        <v>0</v>
      </c>
      <c r="J29" s="80">
        <f t="shared" si="7"/>
        <v>0.78571428571428581</v>
      </c>
      <c r="K29" s="78">
        <f t="shared" si="8"/>
        <v>5.9714285714285831E-2</v>
      </c>
      <c r="L29" s="94">
        <v>38722</v>
      </c>
    </row>
    <row r="30" spans="1:14" x14ac:dyDescent="0.25">
      <c r="A30" s="36" t="str">
        <f>IFERROR(VLOOKUP($B30,'AC and RGM only'!$K$2:$L$250,2,FALSE),"")</f>
        <v>SAUCE NACHO CHEESE</v>
      </c>
      <c r="B30" s="93">
        <v>37909</v>
      </c>
      <c r="C30" s="73"/>
      <c r="D30" s="83">
        <f>6*1.8</f>
        <v>10.8</v>
      </c>
      <c r="E30" s="84" t="s">
        <v>158</v>
      </c>
      <c r="F30" s="76">
        <f>AVERAGE(_xlfn.XLOOKUP($B30,'AC and RGM only'!$K$1:$K$150,'AC and RGM only'!$N$1:$T$150))</f>
        <v>0.72714285714285709</v>
      </c>
      <c r="G30" s="77">
        <f t="array" ref="G30">_xlfn.XLOOKUP($B30,VALUE('STOCK ON HAND'!$E$1:$E$200),'STOCK ON HAND'!$H$1:$H$200,0)/D30</f>
        <v>1.7981481481481483</v>
      </c>
      <c r="H30" s="78">
        <f t="shared" si="5"/>
        <v>2.4728952921487308</v>
      </c>
      <c r="I30" s="79">
        <f>SUMIFS('STOCK ON ORDER'!$L$2:$L$200,'STOCK ON ORDER'!$H$2:$H$200,VALUE($L30))</f>
        <v>5</v>
      </c>
      <c r="J30" s="80">
        <f t="shared" si="7"/>
        <v>7.2714285714285705</v>
      </c>
      <c r="K30" s="78">
        <f t="shared" si="8"/>
        <v>0.47328042328042219</v>
      </c>
      <c r="L30" s="85">
        <v>37909</v>
      </c>
    </row>
    <row r="31" spans="1:14" x14ac:dyDescent="0.25">
      <c r="A31" s="36" t="str">
        <f>IFERROR(VLOOKUP($B31,'AC and RGM only'!$K$2:$L$250,2,FALSE),"")</f>
        <v>SAUCE PICO DE GALLO 100GM</v>
      </c>
      <c r="B31" s="93">
        <v>37913</v>
      </c>
      <c r="C31" s="73"/>
      <c r="D31" s="83">
        <v>6</v>
      </c>
      <c r="E31" s="84" t="s">
        <v>159</v>
      </c>
      <c r="F31" s="76">
        <f>AVERAGE(_xlfn.XLOOKUP($B31,'AC and RGM only'!$K$1:$K$150,'AC and RGM only'!$N$1:$T$150))</f>
        <v>4.1428571428571433E-2</v>
      </c>
      <c r="G31" s="77">
        <f t="array" ref="G31">_xlfn.XLOOKUP($B31,VALUE('STOCK ON HAND'!$E$1:$E$200),'STOCK ON HAND'!$H$1:$H$200,0)/D31</f>
        <v>0.45666666666666672</v>
      </c>
      <c r="H31" s="78">
        <f t="shared" si="5"/>
        <v>11.022988505747128</v>
      </c>
      <c r="I31" s="79">
        <f>SUMIFS('STOCK ON ORDER'!$L$2:$L$200,'STOCK ON ORDER'!$H$2:$H$200,VALUE($L31))</f>
        <v>0</v>
      </c>
      <c r="J31" s="80">
        <f t="shared" si="7"/>
        <v>0.41428571428571431</v>
      </c>
      <c r="K31" s="78">
        <f t="shared" si="8"/>
        <v>0</v>
      </c>
      <c r="L31" s="94">
        <v>37913</v>
      </c>
    </row>
    <row r="32" spans="1:14" x14ac:dyDescent="0.25">
      <c r="A32" s="36" t="str">
        <f>IFERROR(VLOOKUP($B32,'AC and RGM only'!$K$2:$L$250,2,FALSE),"")</f>
        <v>SAUCE ZESTY RANCH 1</v>
      </c>
      <c r="B32" s="93">
        <v>38414</v>
      </c>
      <c r="C32" s="73"/>
      <c r="D32" s="83">
        <v>15</v>
      </c>
      <c r="E32" s="84" t="s">
        <v>44</v>
      </c>
      <c r="F32" s="76">
        <f>AVERAGE(_xlfn.XLOOKUP($B32,'AC and RGM only'!$K$1:$K$150,'AC and RGM only'!$N$1:$T$150))</f>
        <v>0.28857142857142859</v>
      </c>
      <c r="G32" s="77">
        <f t="array" ref="G32">_xlfn.XLOOKUP($B32,VALUE('STOCK ON HAND'!$E$1:$E$200),'STOCK ON HAND'!$H$1:$H$200,0)/D32</f>
        <v>1.1446666666666667</v>
      </c>
      <c r="H32" s="78">
        <f t="shared" si="5"/>
        <v>3.9666666666666668</v>
      </c>
      <c r="I32" s="79">
        <f>SUMIFS('STOCK ON ORDER'!$L$2:$L$200,'STOCK ON ORDER'!$H$2:$H$200,VALUE($L32))</f>
        <v>2</v>
      </c>
      <c r="J32" s="80">
        <f t="shared" si="7"/>
        <v>2.8857142857142861</v>
      </c>
      <c r="K32" s="78">
        <f t="shared" si="8"/>
        <v>0</v>
      </c>
      <c r="L32" s="85">
        <v>38414</v>
      </c>
    </row>
  </sheetData>
  <mergeCells count="4">
    <mergeCell ref="E2:K3"/>
    <mergeCell ref="L2:L5"/>
    <mergeCell ref="B3:B5"/>
    <mergeCell ref="E20:K21"/>
  </mergeCells>
  <conditionalFormatting sqref="A6:A19 A24:A32">
    <cfRule type="expression" dxfId="42" priority="34">
      <formula>AND($A6&lt;&gt;"",$E6&lt;&gt;"",SUMPRODUCT(--ISNUMBER(SEARCH(" "&amp;TRIM(MID(SUBSTITUTE(" "&amp;$E6&amp;" "," ",REPT(" ",100)),(ROW(INDIRECT("1:"&amp;(LEN($E6)-LEN(SUBSTITUTE($E6," ",""))+1))))*100,100))&amp;" "," "&amp;$A6&amp;" ")))&gt;=1)</formula>
    </cfRule>
    <cfRule type="expression" dxfId="41" priority="35">
      <formula>AND($A6&lt;&gt;"",$E6&lt;&gt;"",SUMPRODUCT(--ISNUMBER(SEARCH(" "&amp;TRIM(MID(SUBSTITUTE(" "&amp;$E6&amp;" "," ",REPT(" ",100)),(ROW(INDIRECT("1:"&amp;(LEN($E6)-LEN(SUBSTITUTE($E6," ",""))+1))))*100,100))&amp;" "," "&amp;$A6&amp;" ")))=0)</formula>
    </cfRule>
  </conditionalFormatting>
  <conditionalFormatting sqref="F6:H18">
    <cfRule type="expression" dxfId="40" priority="7">
      <formula>AND($H6&lt;5,$I6+$G6&lt;$F6*5)</formula>
    </cfRule>
  </conditionalFormatting>
  <conditionalFormatting sqref="F24:I32">
    <cfRule type="expression" dxfId="39" priority="1">
      <formula>AND($H24&lt;5,$I24+$G24&lt;$F24*5)</formula>
    </cfRule>
  </conditionalFormatting>
  <conditionalFormatting sqref="H6:H18">
    <cfRule type="expression" dxfId="38" priority="13">
      <formula>AND(ISNUMBER(H6), H6&lt;5)</formula>
    </cfRule>
  </conditionalFormatting>
  <conditionalFormatting sqref="H24:H32">
    <cfRule type="expression" dxfId="37" priority="11">
      <formula>AND(ISNUMBER(H24), H24&lt;5)</formula>
    </cfRule>
  </conditionalFormatting>
  <conditionalFormatting sqref="I7">
    <cfRule type="expression" dxfId="36" priority="2">
      <formula>AND($H7&lt;5,$I7+$G7&lt;$F7*5)</formula>
    </cfRule>
  </conditionalFormatting>
  <conditionalFormatting sqref="I14">
    <cfRule type="expression" dxfId="35" priority="3">
      <formula>AND($H14&lt;5,$I14+$G14&lt;$F14*5)</formula>
    </cfRule>
  </conditionalFormatting>
  <conditionalFormatting sqref="I6:K6 J7:K7 I8:K13 J14:K14 I15:K18">
    <cfRule type="expression" dxfId="34" priority="18">
      <formula>AND($H6&lt;5,$I6+$G6&lt;$F6*5)</formula>
    </cfRule>
  </conditionalFormatting>
  <conditionalFormatting sqref="J24:K32">
    <cfRule type="expression" dxfId="33" priority="15">
      <formula>AND($H24&lt;5,$I24+$G24&lt;$F24*5)</formula>
    </cfRule>
  </conditionalFormatting>
  <conditionalFormatting sqref="K6:K18">
    <cfRule type="expression" dxfId="32" priority="17">
      <formula>K6&gt;0</formula>
    </cfRule>
    <cfRule type="cellIs" dxfId="31" priority="19" operator="equal">
      <formula>0</formula>
    </cfRule>
  </conditionalFormatting>
  <conditionalFormatting sqref="K24:K32">
    <cfRule type="expression" dxfId="30" priority="14">
      <formula>K24&gt;0</formula>
    </cfRule>
    <cfRule type="cellIs" dxfId="29" priority="16" operator="equal">
      <formula>0</formula>
    </cfRule>
  </conditionalFormatting>
  <dataValidations count="1">
    <dataValidation showInputMessage="1" showErrorMessage="1" sqref="K24:K32 K6:K18 G6:G18 G24:G32" xr:uid="{00000000-0002-0000-0300-000000000000}"/>
  </dataValidations>
  <pageMargins left="0.7" right="0.7" top="1.3149999999999999" bottom="0.75" header="0.3" footer="0.3"/>
  <pageSetup paperSize="9" scale="84" fitToHeight="0" orientation="landscape" useFirstPageNumber="1" horizontalDpi="4294967295" verticalDpi="4294967295" r:id="rId1"/>
  <headerFooter>
    <oddFooter>&amp;L_x000D_&amp;1#&amp;"Aptos"&amp;10&amp;K000000 Collins Foods - Internal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79998168889431442"/>
    <pageSetUpPr fitToPage="1"/>
  </sheetPr>
  <dimension ref="A1:N39"/>
  <sheetViews>
    <sheetView showGridLines="0" topLeftCell="E1" zoomScale="90" zoomScaleNormal="90" workbookViewId="0">
      <selection activeCell="P19" sqref="P19"/>
    </sheetView>
  </sheetViews>
  <sheetFormatPr defaultColWidth="9.140625" defaultRowHeight="15" x14ac:dyDescent="0.25"/>
  <cols>
    <col min="1" max="1" width="2.7109375" style="36" hidden="1" customWidth="1"/>
    <col min="2" max="3" width="9.140625" style="36" hidden="1" customWidth="1"/>
    <col min="4" max="4" width="9.140625" style="2" hidden="1" customWidth="1"/>
    <col min="5" max="5" width="23.7109375" style="36" customWidth="1"/>
    <col min="6" max="9" width="20.7109375" style="36" customWidth="1"/>
    <col min="10" max="10" width="20.7109375" style="36" hidden="1" customWidth="1"/>
    <col min="11" max="11" width="20.7109375" style="36" customWidth="1"/>
    <col min="12" max="12" width="8.42578125" style="36" hidden="1" customWidth="1"/>
    <col min="13" max="13" width="9.140625" style="36" hidden="1" customWidth="1"/>
    <col min="14" max="14" width="9" style="36" hidden="1" customWidth="1"/>
    <col min="15" max="15" width="9.140625" style="36" customWidth="1"/>
    <col min="16" max="16384" width="9.140625" style="36"/>
  </cols>
  <sheetData>
    <row r="1" spans="1:13" x14ac:dyDescent="0.25">
      <c r="B1" s="64"/>
    </row>
    <row r="2" spans="1:13" ht="15" customHeight="1" x14ac:dyDescent="0.25">
      <c r="A2" s="65"/>
      <c r="B2" s="64"/>
      <c r="E2" s="239" t="s">
        <v>160</v>
      </c>
      <c r="F2" s="240"/>
      <c r="G2" s="240"/>
      <c r="H2" s="240"/>
      <c r="I2" s="240"/>
      <c r="J2" s="240"/>
      <c r="K2" s="240"/>
      <c r="L2" s="158" t="s">
        <v>64</v>
      </c>
      <c r="M2" s="158"/>
    </row>
    <row r="3" spans="1:13" ht="15" customHeight="1" x14ac:dyDescent="0.25">
      <c r="A3" s="66"/>
      <c r="B3" s="159" t="s">
        <v>65</v>
      </c>
      <c r="E3" s="239"/>
      <c r="F3" s="240"/>
      <c r="G3" s="240"/>
      <c r="H3" s="240"/>
      <c r="I3" s="240"/>
      <c r="J3" s="240"/>
      <c r="K3" s="240"/>
      <c r="L3" s="158"/>
      <c r="M3" s="158"/>
    </row>
    <row r="4" spans="1:13" ht="3.75" customHeight="1" x14ac:dyDescent="0.25">
      <c r="A4" s="66"/>
      <c r="B4" s="159"/>
      <c r="E4" s="68"/>
      <c r="F4" s="68"/>
      <c r="G4" s="68"/>
      <c r="H4" s="68"/>
      <c r="I4" s="68"/>
      <c r="J4" s="68"/>
      <c r="L4" s="158"/>
      <c r="M4" s="158"/>
    </row>
    <row r="5" spans="1:13" ht="15.75" customHeight="1" x14ac:dyDescent="0.25">
      <c r="A5" s="66"/>
      <c r="B5" s="160"/>
      <c r="D5" s="98" t="s">
        <v>66</v>
      </c>
      <c r="E5" s="70" t="s">
        <v>30</v>
      </c>
      <c r="F5" s="70" t="s">
        <v>67</v>
      </c>
      <c r="G5" s="70" t="s">
        <v>68</v>
      </c>
      <c r="H5" s="70" t="s">
        <v>69</v>
      </c>
      <c r="I5" s="70" t="s">
        <v>70</v>
      </c>
      <c r="J5" s="70" t="s">
        <v>71</v>
      </c>
      <c r="K5" s="70" t="s">
        <v>72</v>
      </c>
      <c r="L5" s="158"/>
      <c r="M5" s="158"/>
    </row>
    <row r="6" spans="1:13" x14ac:dyDescent="0.25">
      <c r="A6" s="36" t="str">
        <f>IFERROR(VLOOKUP($B6,'AC and RGM only'!$K$2:$L$250,2,FALSE),"")</f>
        <v>DRINK WATER SPARKLING 500ML</v>
      </c>
      <c r="B6" s="24">
        <v>100402</v>
      </c>
      <c r="D6" s="99">
        <v>24</v>
      </c>
      <c r="E6" s="100" t="s">
        <v>161</v>
      </c>
      <c r="F6" s="101">
        <f>AVERAGE(_xlfn.XLOOKUP($B6,'AC and RGM only'!$K$1:$K$150,'AC and RGM only'!$N$1:$T$150))</f>
        <v>3.0000000000000002E-2</v>
      </c>
      <c r="G6" s="77">
        <f t="array" ref="G6">_xlfn.XLOOKUP($B6,VALUE('STOCK ON HAND'!$E$1:$E$200),'STOCK ON HAND'!$H$1:$H$200,0)/D6</f>
        <v>0.83333333333333337</v>
      </c>
      <c r="H6" s="78">
        <f t="shared" ref="H6:H17" si="0">IF($F6=0,0,($G6*1/$F6))</f>
        <v>27.777777777777779</v>
      </c>
      <c r="I6" s="79">
        <f>SUMIFS('STOCK ON ORDER'!$L$2:$L$200,'STOCK ON ORDER'!$H$2:$H$200,VALUE($L6))</f>
        <v>0</v>
      </c>
      <c r="J6" s="78">
        <f t="shared" ref="J6" si="1">F6*10</f>
        <v>0.30000000000000004</v>
      </c>
      <c r="K6" s="78">
        <f>IF(H6&gt;10,0,IFERROR(MAX(0,J6-G6-I6),0))</f>
        <v>0</v>
      </c>
      <c r="L6" s="102">
        <v>10005242</v>
      </c>
      <c r="M6" s="2"/>
    </row>
    <row r="7" spans="1:13" x14ac:dyDescent="0.25">
      <c r="A7" s="36" t="str">
        <f>IFERROR(VLOOKUP($B7,'AC and RGM only'!$K$2:$L$250,2,FALSE),"")</f>
        <v>DRINK RED BULL ED 250ML</v>
      </c>
      <c r="B7" s="24">
        <v>100403</v>
      </c>
      <c r="D7" s="99">
        <v>24</v>
      </c>
      <c r="E7" s="100" t="s">
        <v>162</v>
      </c>
      <c r="F7" s="101">
        <f>AVERAGE(_xlfn.XLOOKUP($B7,'AC and RGM only'!$K$1:$K$150,'AC and RGM only'!$N$1:$T$150))</f>
        <v>9.4285714285714292E-2</v>
      </c>
      <c r="G7" s="77">
        <f t="array" ref="G7">_xlfn.XLOOKUP($B7,VALUE('STOCK ON HAND'!$E$1:$E$200),'STOCK ON HAND'!$H$1:$H$200,0)/D7</f>
        <v>0.83333333333333337</v>
      </c>
      <c r="H7" s="78">
        <f t="shared" si="0"/>
        <v>8.8383838383838373</v>
      </c>
      <c r="I7" s="79">
        <f>SUMIFS('STOCK ON ORDER'!$L$2:$L$200,'STOCK ON ORDER'!$H$2:$H$200,VALUE($L7))</f>
        <v>1</v>
      </c>
      <c r="J7" s="78">
        <f t="shared" ref="J7:J14" si="2">F7*10</f>
        <v>0.94285714285714295</v>
      </c>
      <c r="K7" s="78">
        <f t="shared" ref="K7:K36" si="3">IF(H7&gt;10,0,IFERROR(MAX(0,J7-G7-I7),0))</f>
        <v>0</v>
      </c>
      <c r="L7" s="103">
        <v>10006909</v>
      </c>
      <c r="M7" s="2"/>
    </row>
    <row r="8" spans="1:13" x14ac:dyDescent="0.25">
      <c r="A8" s="36" t="str">
        <f>IFERROR(VLOOKUP($B8,'AC and RGM only'!$K$2:$L$250,2,FALSE),"")</f>
        <v>DRINK RED BULL S/FREE 250ML</v>
      </c>
      <c r="B8" s="24">
        <v>100404</v>
      </c>
      <c r="D8" s="99">
        <v>24</v>
      </c>
      <c r="E8" s="100" t="s">
        <v>163</v>
      </c>
      <c r="F8" s="101">
        <f>AVERAGE(_xlfn.XLOOKUP($B8,'AC and RGM only'!$K$1:$K$150,'AC and RGM only'!$N$1:$T$150))</f>
        <v>1.7142857142857144E-2</v>
      </c>
      <c r="G8" s="77">
        <f t="array" ref="G8">_xlfn.XLOOKUP($B8,VALUE('STOCK ON HAND'!$E$1:$E$200),'STOCK ON HAND'!$H$1:$H$200,0)/D8</f>
        <v>0.33333333333333331</v>
      </c>
      <c r="H8" s="78">
        <f t="shared" si="0"/>
        <v>19.444444444444443</v>
      </c>
      <c r="I8" s="79">
        <f>SUMIFS('STOCK ON ORDER'!$L$2:$L$200,'STOCK ON ORDER'!$H$2:$H$200,VALUE($L8))</f>
        <v>1</v>
      </c>
      <c r="J8" s="78">
        <f t="shared" si="2"/>
        <v>0.17142857142857143</v>
      </c>
      <c r="K8" s="78">
        <f t="shared" si="3"/>
        <v>0</v>
      </c>
      <c r="L8" s="102">
        <v>10006936</v>
      </c>
      <c r="M8" s="2"/>
    </row>
    <row r="9" spans="1:13" x14ac:dyDescent="0.25">
      <c r="A9" s="36" t="str">
        <f>IFERROR(VLOOKUP($B9,'AC and RGM only'!$K$2:$L$250,2,FALSE),"")</f>
        <v>DRINK RED BULL TROPICAL 250ML</v>
      </c>
      <c r="B9" s="24">
        <v>100405</v>
      </c>
      <c r="D9" s="99">
        <v>12</v>
      </c>
      <c r="E9" s="100" t="s">
        <v>164</v>
      </c>
      <c r="F9" s="101">
        <f>AVERAGE(_xlfn.XLOOKUP($B9,'AC and RGM only'!$K$1:$K$150,'AC and RGM only'!$N$1:$T$150))</f>
        <v>6.0000000000000005E-2</v>
      </c>
      <c r="G9" s="77">
        <f t="array" ref="G9">_xlfn.XLOOKUP($B9,VALUE('STOCK ON HAND'!$E$1:$E$200),'STOCK ON HAND'!$H$1:$H$200,0)/D9</f>
        <v>0.91666666666666663</v>
      </c>
      <c r="H9" s="78">
        <f t="shared" si="0"/>
        <v>15.277777777777777</v>
      </c>
      <c r="I9" s="79">
        <f>SUMIFS('STOCK ON ORDER'!$L$2:$L$200,'STOCK ON ORDER'!$H$2:$H$200,VALUE($L9))</f>
        <v>0</v>
      </c>
      <c r="J9" s="78">
        <f t="shared" si="2"/>
        <v>0.60000000000000009</v>
      </c>
      <c r="K9" s="78">
        <f t="shared" si="3"/>
        <v>0</v>
      </c>
      <c r="L9" s="103">
        <v>10006942</v>
      </c>
      <c r="M9" s="2"/>
    </row>
    <row r="10" spans="1:13" x14ac:dyDescent="0.25">
      <c r="A10" s="36" t="str">
        <f>IFERROR(VLOOKUP($B10,'AC and RGM only'!$K$2:$L$250,2,FALSE),"")</f>
        <v>DRINK JUICE POP TOP APPLE 250ML</v>
      </c>
      <c r="B10" s="24">
        <v>100400</v>
      </c>
      <c r="D10" s="99">
        <v>24</v>
      </c>
      <c r="E10" s="100" t="s">
        <v>165</v>
      </c>
      <c r="F10" s="101">
        <f>AVERAGE(_xlfn.XLOOKUP($B10,'AC and RGM only'!$K$1:$K$150,'AC and RGM only'!$N$1:$T$150))</f>
        <v>0.09</v>
      </c>
      <c r="G10" s="77">
        <f t="array" ref="G10">_xlfn.XLOOKUP($B10,VALUE('STOCK ON HAND'!$E$1:$E$200),'STOCK ON HAND'!$H$1:$H$200,0)/D10</f>
        <v>1</v>
      </c>
      <c r="H10" s="78">
        <f t="shared" si="0"/>
        <v>11.111111111111111</v>
      </c>
      <c r="I10" s="79">
        <f>SUMIFS('STOCK ON ORDER'!$L$2:$L$200,'STOCK ON ORDER'!$H$2:$H$200,VALUE($L10))</f>
        <v>0</v>
      </c>
      <c r="J10" s="78">
        <f t="shared" si="2"/>
        <v>0.89999999999999991</v>
      </c>
      <c r="K10" s="78">
        <f t="shared" si="3"/>
        <v>0</v>
      </c>
      <c r="L10" s="102">
        <v>10007182</v>
      </c>
      <c r="M10" s="2"/>
    </row>
    <row r="11" spans="1:13" x14ac:dyDescent="0.25">
      <c r="A11" s="36" t="str">
        <f>IFERROR(VLOOKUP($B11,'AC and RGM only'!$K$2:$L$250,2,FALSE),"")</f>
        <v>DRINK JUICE POP TOP ORANGE 250ML</v>
      </c>
      <c r="B11" s="24">
        <v>100401</v>
      </c>
      <c r="D11" s="99">
        <v>24</v>
      </c>
      <c r="E11" s="100" t="s">
        <v>166</v>
      </c>
      <c r="F11" s="101">
        <f>AVERAGE(_xlfn.XLOOKUP($B11,'AC and RGM only'!$K$1:$K$150,'AC and RGM only'!$N$1:$T$150))</f>
        <v>1.7142857142857144E-2</v>
      </c>
      <c r="G11" s="77">
        <f t="array" ref="G11">_xlfn.XLOOKUP($B11,VALUE('STOCK ON HAND'!$E$1:$E$200),'STOCK ON HAND'!$H$1:$H$200,0)/D11</f>
        <v>1.6666666666666667</v>
      </c>
      <c r="H11" s="78">
        <f t="shared" si="0"/>
        <v>97.222222222222229</v>
      </c>
      <c r="I11" s="79">
        <f>SUMIFS('STOCK ON ORDER'!$L$2:$L$200,'STOCK ON ORDER'!$H$2:$H$200,VALUE($L11))</f>
        <v>0</v>
      </c>
      <c r="J11" s="78">
        <f t="shared" si="2"/>
        <v>0.17142857142857143</v>
      </c>
      <c r="K11" s="78">
        <f t="shared" si="3"/>
        <v>0</v>
      </c>
      <c r="L11" s="103">
        <v>10007184</v>
      </c>
      <c r="M11" s="2"/>
    </row>
    <row r="12" spans="1:13" x14ac:dyDescent="0.25">
      <c r="A12" s="36" t="str">
        <f>IFERROR(VLOOKUP($B12,'AC and RGM only'!$K$2:$L$250,2,FALSE),"")</f>
        <v>DRINK JUICE APPLE SPRING VALLEY</v>
      </c>
      <c r="B12" s="24">
        <v>100399</v>
      </c>
      <c r="D12" s="99">
        <v>12</v>
      </c>
      <c r="E12" s="100" t="s">
        <v>167</v>
      </c>
      <c r="F12" s="101">
        <f>AVERAGE(_xlfn.XLOOKUP($B12,'AC and RGM only'!$K$1:$K$150,'AC and RGM only'!$N$1:$T$150))</f>
        <v>3.2857142857142856E-2</v>
      </c>
      <c r="G12" s="77">
        <f t="array" ref="G12">_xlfn.XLOOKUP($B12,VALUE('STOCK ON HAND'!$E$1:$E$200),'STOCK ON HAND'!$H$1:$H$200,0)/D12</f>
        <v>1.5833333333333333</v>
      </c>
      <c r="H12" s="78">
        <f t="shared" si="0"/>
        <v>48.188405797101453</v>
      </c>
      <c r="I12" s="79">
        <f>SUMIFS('STOCK ON ORDER'!$L$2:$L$200,'STOCK ON ORDER'!$H$2:$H$200,VALUE($L12))</f>
        <v>0</v>
      </c>
      <c r="J12" s="78">
        <f t="shared" si="2"/>
        <v>0.32857142857142857</v>
      </c>
      <c r="K12" s="78">
        <f t="shared" si="3"/>
        <v>0</v>
      </c>
      <c r="L12" s="102">
        <v>10008418</v>
      </c>
      <c r="M12" s="2"/>
    </row>
    <row r="13" spans="1:13" x14ac:dyDescent="0.25">
      <c r="A13" s="36" t="str">
        <f>IFERROR(VLOOKUP($B13,'AC and RGM only'!$K$2:$L$250,2,FALSE),"")</f>
        <v>DRINK 7UP 600ML PET</v>
      </c>
      <c r="B13" s="24">
        <v>16520</v>
      </c>
      <c r="D13" s="99">
        <v>24</v>
      </c>
      <c r="E13" s="100" t="s">
        <v>168</v>
      </c>
      <c r="F13" s="101">
        <f>AVERAGE(_xlfn.XLOOKUP($B13,'AC and RGM only'!$K$1:$K$150,'AC and RGM only'!$N$1:$T$150))</f>
        <v>3.4285714285714287E-2</v>
      </c>
      <c r="G13" s="77">
        <f t="array" ref="G13">_xlfn.XLOOKUP($B13,VALUE('STOCK ON HAND'!$E$1:$E$200),'STOCK ON HAND'!$H$1:$H$200,0)/D13</f>
        <v>0.45833333333333331</v>
      </c>
      <c r="H13" s="78">
        <f t="shared" si="0"/>
        <v>13.368055555555554</v>
      </c>
      <c r="I13" s="79">
        <f>SUMIFS('STOCK ON ORDER'!$L$2:$L$200,'STOCK ON ORDER'!$H$2:$H$200,VALUE($L13))</f>
        <v>0</v>
      </c>
      <c r="J13" s="78">
        <f t="shared" si="2"/>
        <v>0.34285714285714286</v>
      </c>
      <c r="K13" s="78">
        <f t="shared" si="3"/>
        <v>0</v>
      </c>
      <c r="L13" s="103">
        <v>3227</v>
      </c>
      <c r="M13" s="2"/>
    </row>
    <row r="14" spans="1:13" x14ac:dyDescent="0.25">
      <c r="A14" s="36" t="str">
        <f>IFERROR(VLOOKUP($B14,'AC and RGM only'!$K$2:$L$250,2,FALSE),"")</f>
        <v>DRINK 7UP CAN</v>
      </c>
      <c r="B14" s="24">
        <v>14602</v>
      </c>
      <c r="D14" s="99">
        <v>30</v>
      </c>
      <c r="E14" s="100" t="s">
        <v>169</v>
      </c>
      <c r="F14" s="101">
        <f>AVERAGE(_xlfn.XLOOKUP($B14,'AC and RGM only'!$K$1:$K$150,'AC and RGM only'!$N$1:$T$150))</f>
        <v>0.10428571428571429</v>
      </c>
      <c r="G14" s="77">
        <f t="array" ref="G14">_xlfn.XLOOKUP($B14,VALUE('STOCK ON HAND'!$E$1:$E$200),'STOCK ON HAND'!$H$1:$H$200,0)/D14</f>
        <v>0.66666666666666663</v>
      </c>
      <c r="H14" s="78">
        <f t="shared" si="0"/>
        <v>6.3926940639269398</v>
      </c>
      <c r="I14" s="79">
        <f>SUMIFS('STOCK ON ORDER'!$L$2:$L$200,'STOCK ON ORDER'!$H$2:$H$200,VALUE($L14))</f>
        <v>1</v>
      </c>
      <c r="J14" s="78">
        <f t="shared" si="2"/>
        <v>1.0428571428571429</v>
      </c>
      <c r="K14" s="78">
        <f t="shared" si="3"/>
        <v>0</v>
      </c>
      <c r="L14" s="102">
        <v>10007576</v>
      </c>
      <c r="M14" s="2"/>
    </row>
    <row r="15" spans="1:13" x14ac:dyDescent="0.25">
      <c r="A15" s="36" t="str">
        <f>IFERROR(VLOOKUP($B15,'AC and RGM only'!$K$2:$L$250,2,FALSE),"")</f>
        <v>DRINK 7UP BIB 15L</v>
      </c>
      <c r="B15" s="104">
        <v>12153</v>
      </c>
      <c r="D15" s="99">
        <v>15</v>
      </c>
      <c r="E15" s="105" t="s">
        <v>170</v>
      </c>
      <c r="F15" s="101">
        <f>AVERAGE(_xlfn.XLOOKUP($B15,'AC and RGM only'!$K$1:$K$150,'AC and RGM only'!$N$1:$T$150))</f>
        <v>3.7142857142857144E-2</v>
      </c>
      <c r="G15" s="77">
        <f t="array" ref="G15">_xlfn.XLOOKUP($B15,VALUE('STOCK ON HAND'!$E$1:$E$150),'STOCK ON HAND'!$H$1:$H$150,0)/D15</f>
        <v>2.7286666666666668</v>
      </c>
      <c r="H15" s="78">
        <f t="shared" si="0"/>
        <v>73.464102564102561</v>
      </c>
      <c r="I15" s="79">
        <f>SUMIFS('STOCK ON ORDER'!$L$2:$L$200,'STOCK ON ORDER'!$H$2:$H$200,VALUE($L15))</f>
        <v>1</v>
      </c>
      <c r="J15" s="78">
        <v>3</v>
      </c>
      <c r="K15" s="78">
        <f>IFERROR(MAX(0,J15-G15-I15),0)</f>
        <v>0</v>
      </c>
      <c r="L15" s="103">
        <v>3939</v>
      </c>
      <c r="M15" s="2"/>
    </row>
    <row r="16" spans="1:13" x14ac:dyDescent="0.25">
      <c r="A16" s="36" t="str">
        <f>IFERROR(VLOOKUP($B16,'AC and RGM only'!$K$2:$L$250,2,FALSE),"")</f>
        <v>DRINK FCB FREEZE MOUNTAIN DEW 10L</v>
      </c>
      <c r="B16" s="104">
        <v>36224</v>
      </c>
      <c r="D16" s="99">
        <v>10</v>
      </c>
      <c r="E16" s="106" t="s">
        <v>171</v>
      </c>
      <c r="F16" s="101">
        <f>AVERAGE(_xlfn.XLOOKUP($B16,'AC and RGM only'!$K$1:$K$150,'AC and RGM only'!$N$1:$T$150))</f>
        <v>1.9999999999999997E-2</v>
      </c>
      <c r="G16" s="77">
        <f t="array" ref="G16">_xlfn.XLOOKUP($B16,VALUE('STOCK ON HAND'!$E$1:$E$150),'STOCK ON HAND'!$H$1:$H$150,0)/D16</f>
        <v>1.2810000000000001</v>
      </c>
      <c r="H16" s="78">
        <f t="shared" si="0"/>
        <v>64.050000000000011</v>
      </c>
      <c r="I16" s="79">
        <f>SUMIFS('STOCK ON ORDER'!$L$2:$L$200,'STOCK ON ORDER'!$H$2:$H$200,VALUE($L16))</f>
        <v>0</v>
      </c>
      <c r="J16" s="78">
        <v>1</v>
      </c>
      <c r="K16" s="78">
        <f>IFERROR(MAX(0,J16-G16-I16),0)</f>
        <v>0</v>
      </c>
      <c r="L16" s="102">
        <v>10005562</v>
      </c>
      <c r="M16" s="2"/>
    </row>
    <row r="17" spans="1:13" x14ac:dyDescent="0.25">
      <c r="A17" s="36" t="str">
        <f>IFERROR(VLOOKUP($B17,'AC and RGM only'!$K$2:$L$250,2,FALSE),"")</f>
        <v>DRINK FCB FREEZE PEPSI 10L</v>
      </c>
      <c r="B17" s="104">
        <v>36128</v>
      </c>
      <c r="D17" s="99">
        <v>10</v>
      </c>
      <c r="E17" s="106" t="s">
        <v>172</v>
      </c>
      <c r="F17" s="101">
        <f>AVERAGE(_xlfn.XLOOKUP($B17,'AC and RGM only'!$K$1:$K$150,'AC and RGM only'!$N$1:$T$150))</f>
        <v>4.2857142857142858E-2</v>
      </c>
      <c r="G17" s="77">
        <f t="array" ref="G17">_xlfn.XLOOKUP($B17,VALUE('STOCK ON HAND'!$E$1:$E$150),'STOCK ON HAND'!$H$1:$H$150,0)/D17</f>
        <v>0.875</v>
      </c>
      <c r="H17" s="78">
        <f t="shared" si="0"/>
        <v>20.416666666666668</v>
      </c>
      <c r="I17" s="79">
        <f>SUMIFS('STOCK ON ORDER'!$L$2:$L$200,'STOCK ON ORDER'!$H$2:$H$200,VALUE($L17))</f>
        <v>1</v>
      </c>
      <c r="J17" s="78">
        <v>1</v>
      </c>
      <c r="K17" s="78">
        <f>IFERROR(MAX(0,J17-G17-I17),0)</f>
        <v>0</v>
      </c>
      <c r="L17" s="103">
        <v>4095</v>
      </c>
      <c r="M17" s="2"/>
    </row>
    <row r="18" spans="1:13" x14ac:dyDescent="0.25">
      <c r="A18" s="36" t="str">
        <f>IFERROR(VLOOKUP($B18,'AC and RGM only'!$K$2:$L$250,2,FALSE),"")</f>
        <v>DRINK FCB FREEZE TRAD RASPBERRY 10L</v>
      </c>
      <c r="B18" s="104">
        <v>38531</v>
      </c>
      <c r="D18" s="99">
        <v>10</v>
      </c>
      <c r="E18" s="106" t="s">
        <v>173</v>
      </c>
      <c r="F18" s="101">
        <f>AVERAGE(_xlfn.XLOOKUP($B18,'AC and RGM only'!$K$1:$K$150,'AC and RGM only'!$N$1:$T$150))</f>
        <v>3.0000000000000002E-2</v>
      </c>
      <c r="G18" s="77">
        <f t="array" ref="G18">_xlfn.XLOOKUP($B18,VALUE('STOCK ON HAND'!$E$1:$E$150),'STOCK ON HAND'!$H$1:$H$150,0)/D18</f>
        <v>2.012</v>
      </c>
      <c r="H18" s="78">
        <f>IF($F18=0,0,($G18*1/$F18))</f>
        <v>67.066666666666663</v>
      </c>
      <c r="I18" s="79">
        <f>SUMIFS('STOCK ON ORDER'!$L$2:$L$200,'STOCK ON ORDER'!$H$2:$H$200,VALUE($L18))</f>
        <v>0</v>
      </c>
      <c r="J18" s="78">
        <v>1</v>
      </c>
      <c r="K18" s="78">
        <f>IFERROR(MAX(0,J18-G18-I18),0)</f>
        <v>0</v>
      </c>
      <c r="L18" s="102">
        <v>4091</v>
      </c>
      <c r="M18" s="2"/>
    </row>
    <row r="19" spans="1:13" x14ac:dyDescent="0.25">
      <c r="A19" s="36" t="str">
        <f>IFERROR(VLOOKUP($B19,'AC and RGM only'!$K$2:$L$250,2,FALSE),"")</f>
        <v>DRINK LIPTON ICE TEA LEMON 500ML</v>
      </c>
      <c r="B19" s="24">
        <v>38704</v>
      </c>
      <c r="D19" s="99">
        <v>24</v>
      </c>
      <c r="E19" s="100" t="s">
        <v>174</v>
      </c>
      <c r="F19" s="101">
        <f>AVERAGE(_xlfn.XLOOKUP($B19,'AC and RGM only'!$K$1:$K$150,'AC and RGM only'!$N$1:$T$150))</f>
        <v>4.1428571428571433E-2</v>
      </c>
      <c r="G19" s="77">
        <f t="array" ref="G19">_xlfn.XLOOKUP($B19,VALUE('STOCK ON HAND'!$E$1:$E$200),'STOCK ON HAND'!$H$1:$H$200,0)/D19</f>
        <v>0.66666666666666663</v>
      </c>
      <c r="H19" s="78">
        <f t="shared" ref="H19:H36" si="4">IF($F19=0,0,($G19*1/$F19))</f>
        <v>16.091954022988503</v>
      </c>
      <c r="I19" s="79">
        <f>SUMIFS('STOCK ON ORDER'!$L$2:$L$200,'STOCK ON ORDER'!$H$2:$H$200,VALUE($L19))</f>
        <v>0</v>
      </c>
      <c r="J19" s="78">
        <f t="shared" ref="J19:J22" si="5">F19*10</f>
        <v>0.41428571428571431</v>
      </c>
      <c r="K19" s="78">
        <f t="shared" si="3"/>
        <v>0</v>
      </c>
      <c r="L19" s="103">
        <v>10006824</v>
      </c>
      <c r="M19" s="2"/>
    </row>
    <row r="20" spans="1:13" x14ac:dyDescent="0.25">
      <c r="A20" s="36" t="str">
        <f>IFERROR(VLOOKUP($B20,'AC and RGM only'!$K$2:$L$250,2,FALSE),"")</f>
        <v>DRINK LIPTON ICE TEA PEACH</v>
      </c>
      <c r="B20" s="24">
        <v>38705</v>
      </c>
      <c r="D20" s="99">
        <v>24</v>
      </c>
      <c r="E20" s="100" t="s">
        <v>175</v>
      </c>
      <c r="F20" s="101">
        <f>AVERAGE(_xlfn.XLOOKUP($B20,'AC and RGM only'!$K$1:$K$150,'AC and RGM only'!$N$1:$T$150))</f>
        <v>0.1142857142857143</v>
      </c>
      <c r="G20" s="77">
        <f t="array" ref="G20">_xlfn.XLOOKUP($B20,VALUE('STOCK ON HAND'!$E$1:$E$200),'STOCK ON HAND'!$H$1:$H$200,0)/D20</f>
        <v>0.375</v>
      </c>
      <c r="H20" s="78">
        <f t="shared" si="4"/>
        <v>3.2812499999999996</v>
      </c>
      <c r="I20" s="79">
        <f>SUMIFS('STOCK ON ORDER'!$L$2:$L$200,'STOCK ON ORDER'!$H$2:$H$200,VALUE($L20))</f>
        <v>1</v>
      </c>
      <c r="J20" s="78">
        <f t="shared" si="5"/>
        <v>1.142857142857143</v>
      </c>
      <c r="K20" s="78">
        <f t="shared" si="3"/>
        <v>0</v>
      </c>
      <c r="L20" s="102">
        <v>10006826</v>
      </c>
      <c r="M20" s="2"/>
    </row>
    <row r="21" spans="1:13" x14ac:dyDescent="0.25">
      <c r="A21" s="36" t="str">
        <f>IFERROR(VLOOKUP($B21,'AC and RGM only'!$K$2:$L$250,2,FALSE),"")</f>
        <v>DRINK MOUNTAIN DEW 600ML PET</v>
      </c>
      <c r="B21" s="107">
        <v>16521</v>
      </c>
      <c r="D21" s="99">
        <v>24</v>
      </c>
      <c r="E21" s="108" t="s">
        <v>176</v>
      </c>
      <c r="F21" s="101">
        <f>AVERAGE(_xlfn.XLOOKUP($B21,'AC and RGM only'!$K$1:$K$150,'AC and RGM only'!$N$1:$T$150))</f>
        <v>0.1542857142857143</v>
      </c>
      <c r="G21" s="77">
        <f t="array" ref="G21">_xlfn.XLOOKUP($B21,VALUE('STOCK ON HAND'!$E$1:$E$200),'STOCK ON HAND'!$H$1:$H$200,0)/D21</f>
        <v>1.7916666666666667</v>
      </c>
      <c r="H21" s="78">
        <f t="shared" si="4"/>
        <v>11.612654320987653</v>
      </c>
      <c r="I21" s="79">
        <f>SUMIFS('STOCK ON ORDER'!$L$2:$L$200,'STOCK ON ORDER'!$H$2:$H$200,VALUE($L21))</f>
        <v>0</v>
      </c>
      <c r="J21" s="78">
        <f t="shared" si="5"/>
        <v>1.5428571428571431</v>
      </c>
      <c r="K21" s="78">
        <f t="shared" si="3"/>
        <v>0</v>
      </c>
      <c r="L21" s="103">
        <v>10004815</v>
      </c>
      <c r="M21" s="102">
        <v>10008621</v>
      </c>
    </row>
    <row r="22" spans="1:13" x14ac:dyDescent="0.25">
      <c r="A22" s="36" t="str">
        <f>IFERROR(VLOOKUP($B22,'AC and RGM only'!$K$2:$L$250,2,FALSE),"")</f>
        <v>DRINK MOUNTAIN DEW CAN</v>
      </c>
      <c r="B22" s="24">
        <v>14603</v>
      </c>
      <c r="D22" s="99">
        <v>30</v>
      </c>
      <c r="E22" s="100" t="s">
        <v>177</v>
      </c>
      <c r="F22" s="101">
        <f>AVERAGE(_xlfn.XLOOKUP($B22,'AC and RGM only'!$K$1:$K$150,'AC and RGM only'!$N$1:$T$150))</f>
        <v>6.2857142857142861E-2</v>
      </c>
      <c r="G22" s="77">
        <f t="array" ref="G22">_xlfn.XLOOKUP($B22,VALUE('STOCK ON HAND'!$E$1:$E$200),'STOCK ON HAND'!$H$1:$H$200,0)/D22</f>
        <v>1.2666666666666666</v>
      </c>
      <c r="H22" s="78">
        <f t="shared" si="4"/>
        <v>20.151515151515149</v>
      </c>
      <c r="I22" s="79">
        <f>SUMIFS('STOCK ON ORDER'!$L$2:$L$200,'STOCK ON ORDER'!$H$2:$H$200,VALUE($L22))</f>
        <v>0</v>
      </c>
      <c r="J22" s="78">
        <f t="shared" si="5"/>
        <v>0.62857142857142856</v>
      </c>
      <c r="K22" s="78">
        <f t="shared" si="3"/>
        <v>0</v>
      </c>
      <c r="L22" s="103">
        <v>10007191</v>
      </c>
      <c r="M22" s="102">
        <v>10008634</v>
      </c>
    </row>
    <row r="23" spans="1:13" x14ac:dyDescent="0.25">
      <c r="A23" s="36" t="str">
        <f>IFERROR(VLOOKUP($B23,'AC and RGM only'!$K$2:$L$250,2,FALSE),"")</f>
        <v>DRINK MOUNTAIN DEW BIB 15L</v>
      </c>
      <c r="B23" s="104">
        <v>14606</v>
      </c>
      <c r="D23" s="99">
        <v>15</v>
      </c>
      <c r="E23" s="109" t="s">
        <v>178</v>
      </c>
      <c r="F23" s="101">
        <f>AVERAGE(_xlfn.XLOOKUP($B23,'AC and RGM only'!$K$1:$K$150,'AC and RGM only'!$N$1:$T$150))</f>
        <v>6.5714285714285711E-2</v>
      </c>
      <c r="G23" s="77">
        <f t="array" ref="G23">_xlfn.XLOOKUP($B23,VALUE('STOCK ON HAND'!$E$1:$E$150),'STOCK ON HAND'!$H$1:$H$150,0)/D23</f>
        <v>3.1306666666666669</v>
      </c>
      <c r="H23" s="78">
        <f t="shared" si="4"/>
        <v>47.640579710144934</v>
      </c>
      <c r="I23" s="79">
        <f>SUMIFS('STOCK ON ORDER'!$L$2:$L$200,'STOCK ON ORDER'!$H$2:$H$200,VALUE($L23))</f>
        <v>1</v>
      </c>
      <c r="J23" s="78">
        <v>4</v>
      </c>
      <c r="K23" s="78">
        <f>IFERROR(MAX(0,J23-G23-I23),0)</f>
        <v>0</v>
      </c>
      <c r="L23" s="103">
        <v>10005385</v>
      </c>
      <c r="M23" s="2"/>
    </row>
    <row r="24" spans="1:13" x14ac:dyDescent="0.25">
      <c r="A24" s="36" t="str">
        <f>IFERROR(VLOOKUP($B24,'AC and RGM only'!$K$2:$L$250,2,FALSE),"")</f>
        <v>DRINK PEPSI 600ML</v>
      </c>
      <c r="B24" s="24">
        <v>14648</v>
      </c>
      <c r="D24" s="99">
        <v>24</v>
      </c>
      <c r="E24" s="100" t="s">
        <v>179</v>
      </c>
      <c r="F24" s="101">
        <f>AVERAGE(_xlfn.XLOOKUP($B24,'AC and RGM only'!$K$1:$K$150,'AC and RGM only'!$N$1:$T$150))</f>
        <v>5.2857142857142846E-2</v>
      </c>
      <c r="G24" s="77">
        <f t="array" ref="G24">_xlfn.XLOOKUP($B24,VALUE('STOCK ON HAND'!$E$1:$E$200),'STOCK ON HAND'!$H$1:$H$200,0)/D24</f>
        <v>0.54166666666666663</v>
      </c>
      <c r="H24" s="78">
        <f t="shared" si="4"/>
        <v>10.247747747747749</v>
      </c>
      <c r="I24" s="79">
        <f>SUMIFS('STOCK ON ORDER'!$L$2:$L$200,'STOCK ON ORDER'!$H$2:$H$200,VALUE($L24))</f>
        <v>0</v>
      </c>
      <c r="J24" s="78">
        <f t="shared" ref="J24:J27" si="6">F24*10</f>
        <v>0.52857142857142847</v>
      </c>
      <c r="K24" s="78">
        <f t="shared" si="3"/>
        <v>0</v>
      </c>
      <c r="L24" s="102">
        <v>10008623</v>
      </c>
      <c r="M24" s="103">
        <v>3221</v>
      </c>
    </row>
    <row r="25" spans="1:13" x14ac:dyDescent="0.25">
      <c r="A25" s="36" t="str">
        <f>IFERROR(VLOOKUP($B25,'AC and RGM only'!$K$2:$L$250,2,FALSE),"")</f>
        <v>DRINK PEPSI CAN</v>
      </c>
      <c r="B25" s="24">
        <v>12150</v>
      </c>
      <c r="D25" s="99">
        <v>30</v>
      </c>
      <c r="E25" s="100" t="s">
        <v>180</v>
      </c>
      <c r="F25" s="101">
        <f>AVERAGE(_xlfn.XLOOKUP($B25,'AC and RGM only'!$K$1:$K$150,'AC and RGM only'!$N$1:$T$150))</f>
        <v>6.7142857142857157E-2</v>
      </c>
      <c r="G25" s="77">
        <f t="array" ref="G25">_xlfn.XLOOKUP($B25,VALUE('STOCK ON HAND'!$E$1:$E$200),'STOCK ON HAND'!$H$1:$H$200,0)/D25</f>
        <v>0.9</v>
      </c>
      <c r="H25" s="78">
        <f t="shared" si="4"/>
        <v>13.404255319148934</v>
      </c>
      <c r="I25" s="79">
        <f>SUMIFS('STOCK ON ORDER'!$L$2:$L$200,'STOCK ON ORDER'!$H$2:$H$200,VALUE($L25))</f>
        <v>0</v>
      </c>
      <c r="J25" s="78">
        <f t="shared" si="6"/>
        <v>0.6714285714285716</v>
      </c>
      <c r="K25" s="78">
        <f t="shared" si="3"/>
        <v>0</v>
      </c>
      <c r="L25" s="102">
        <v>10004724</v>
      </c>
      <c r="M25" s="103">
        <v>10008633</v>
      </c>
    </row>
    <row r="26" spans="1:13" x14ac:dyDescent="0.25">
      <c r="A26" s="36" t="str">
        <f>IFERROR(VLOOKUP($B26,'AC and RGM only'!$K$2:$L$250,2,FALSE),"")</f>
        <v>DRINK PEPSI MAX 600ML</v>
      </c>
      <c r="B26" s="24">
        <v>12128</v>
      </c>
      <c r="D26" s="99">
        <v>24</v>
      </c>
      <c r="E26" s="100" t="s">
        <v>181</v>
      </c>
      <c r="F26" s="101">
        <f>AVERAGE(_xlfn.XLOOKUP($B26,'AC and RGM only'!$K$1:$K$150,'AC and RGM only'!$N$1:$T$150))</f>
        <v>0.25142857142857139</v>
      </c>
      <c r="G26" s="77">
        <f t="array" ref="G26">_xlfn.XLOOKUP($B26,VALUE('STOCK ON HAND'!$E$1:$E$200),'STOCK ON HAND'!$H$1:$H$200,0)/D26</f>
        <v>1.2083333333333333</v>
      </c>
      <c r="H26" s="78">
        <f t="shared" si="4"/>
        <v>4.8058712121212128</v>
      </c>
      <c r="I26" s="79">
        <f>SUMIFS('STOCK ON ORDER'!$L$2:$L$200,'STOCK ON ORDER'!$H$2:$H$200,VALUE($L26))</f>
        <v>1</v>
      </c>
      <c r="J26" s="78">
        <f t="shared" si="6"/>
        <v>2.5142857142857138</v>
      </c>
      <c r="K26" s="78">
        <f t="shared" si="3"/>
        <v>0.30595238095238053</v>
      </c>
      <c r="L26" s="102">
        <v>3226</v>
      </c>
      <c r="M26" s="2"/>
    </row>
    <row r="27" spans="1:13" x14ac:dyDescent="0.25">
      <c r="A27" s="36" t="str">
        <f>IFERROR(VLOOKUP($B27,'AC and RGM only'!$K$2:$L$250,2,FALSE),"")</f>
        <v>DRINK PEPSI MAX CAN</v>
      </c>
      <c r="B27" s="24">
        <v>14601</v>
      </c>
      <c r="D27" s="99">
        <v>30</v>
      </c>
      <c r="E27" s="100" t="s">
        <v>182</v>
      </c>
      <c r="F27" s="101">
        <f>AVERAGE(_xlfn.XLOOKUP($B27,'AC and RGM only'!$K$1:$K$150,'AC and RGM only'!$N$1:$T$150))</f>
        <v>0.22285714285714286</v>
      </c>
      <c r="G27" s="77">
        <f t="array" ref="G27">_xlfn.XLOOKUP($B27,VALUE('STOCK ON HAND'!$E$1:$E$200),'STOCK ON HAND'!$H$1:$H$200,0)/D27</f>
        <v>1</v>
      </c>
      <c r="H27" s="78">
        <f t="shared" si="4"/>
        <v>4.4871794871794872</v>
      </c>
      <c r="I27" s="79">
        <f>SUMIFS('STOCK ON ORDER'!$L$2:$L$200,'STOCK ON ORDER'!$H$2:$H$200,VALUE($L27))</f>
        <v>1</v>
      </c>
      <c r="J27" s="78">
        <f t="shared" si="6"/>
        <v>2.2285714285714286</v>
      </c>
      <c r="K27" s="78">
        <f t="shared" si="3"/>
        <v>0.22857142857142865</v>
      </c>
      <c r="L27" s="103">
        <v>10004423</v>
      </c>
      <c r="M27" s="2"/>
    </row>
    <row r="28" spans="1:13" x14ac:dyDescent="0.25">
      <c r="A28" s="36" t="str">
        <f>IFERROR(VLOOKUP($B28,'AC and RGM only'!$K$2:$L$250,2,FALSE),"")</f>
        <v>DRINK PEPSI MAX BIB 10L</v>
      </c>
      <c r="B28" s="104">
        <v>16235</v>
      </c>
      <c r="D28" s="99">
        <v>10</v>
      </c>
      <c r="E28" s="109" t="s">
        <v>183</v>
      </c>
      <c r="F28" s="101">
        <f>AVERAGE(_xlfn.XLOOKUP($B28,'AC and RGM only'!$K$1:$K$150,'AC and RGM only'!$N$1:$T$150))</f>
        <v>0.24285714285714283</v>
      </c>
      <c r="G28" s="77">
        <f t="array" ref="G28">_xlfn.XLOOKUP($B28,VALUE('STOCK ON HAND'!$E$1:$E$150),'STOCK ON HAND'!$H$1:$H$150,0)/D28</f>
        <v>4.7039999999999997</v>
      </c>
      <c r="H28" s="78">
        <f t="shared" si="4"/>
        <v>19.369411764705884</v>
      </c>
      <c r="I28" s="79">
        <f>SUMIFS('STOCK ON ORDER'!$L$2:$L$200,'STOCK ON ORDER'!$H$2:$H$200,VALUE($L28))</f>
        <v>1</v>
      </c>
      <c r="J28" s="78">
        <v>6</v>
      </c>
      <c r="K28" s="78">
        <f>IF(,0,IFERROR(MAX(0,J28-G28-I28),0))</f>
        <v>0.29600000000000026</v>
      </c>
      <c r="L28" s="102">
        <v>3478</v>
      </c>
      <c r="M28" s="2"/>
    </row>
    <row r="29" spans="1:13" x14ac:dyDescent="0.25">
      <c r="A29" s="36" t="str">
        <f>IFERROR(VLOOKUP($B29,'AC and RGM only'!$K$2:$L$250,2,FALSE),"")</f>
        <v>DRINK PEPSI POST MIX</v>
      </c>
      <c r="B29" s="104">
        <v>12151</v>
      </c>
      <c r="D29" s="99">
        <v>15</v>
      </c>
      <c r="E29" s="109" t="s">
        <v>184</v>
      </c>
      <c r="F29" s="101">
        <f>AVERAGE(_xlfn.XLOOKUP($B29,'AC and RGM only'!$K$1:$K$150,'AC and RGM only'!$N$1:$T$150))</f>
        <v>0.51714285714285724</v>
      </c>
      <c r="G29" s="77">
        <f t="array" ref="G29">_xlfn.XLOOKUP($B29,VALUE('STOCK ON HAND'!$E$1:$E$150),'STOCK ON HAND'!$H$1:$H$150,0)/D29</f>
        <v>4.0540000000000003</v>
      </c>
      <c r="H29" s="78">
        <f t="shared" si="4"/>
        <v>7.8392265193370161</v>
      </c>
      <c r="I29" s="79">
        <f>SUMIFS('STOCK ON ORDER'!$L$2:$L$200,'STOCK ON ORDER'!$H$2:$H$200,VALUE($L29))</f>
        <v>0</v>
      </c>
      <c r="J29" s="78">
        <v>4</v>
      </c>
      <c r="K29" s="78">
        <f>IF(,0,IFERROR(MAX(0,J29-G29-I29),0))</f>
        <v>0</v>
      </c>
      <c r="L29" s="103">
        <v>3912</v>
      </c>
      <c r="M29" s="2"/>
    </row>
    <row r="30" spans="1:13" x14ac:dyDescent="0.25">
      <c r="A30" s="36" t="str">
        <f>IFERROR(VLOOKUP($B30,'AC and RGM only'!$K$2:$L$250,2,FALSE),"")</f>
        <v>DRINK SOLO LEMON 600ML PET</v>
      </c>
      <c r="B30" s="24">
        <v>16522</v>
      </c>
      <c r="D30" s="99">
        <v>24</v>
      </c>
      <c r="E30" s="100" t="s">
        <v>185</v>
      </c>
      <c r="F30" s="101">
        <f>AVERAGE(_xlfn.XLOOKUP($B30,'AC and RGM only'!$K$1:$K$150,'AC and RGM only'!$N$1:$T$150))</f>
        <v>5.1428571428571428E-2</v>
      </c>
      <c r="G30" s="77">
        <f t="array" ref="G30">_xlfn.XLOOKUP($B30,VALUE('STOCK ON HAND'!$E$1:$E$200),'STOCK ON HAND'!$H$1:$H$200,0)/D30</f>
        <v>0.70833333333333337</v>
      </c>
      <c r="H30" s="78">
        <f t="shared" si="4"/>
        <v>13.773148148148149</v>
      </c>
      <c r="I30" s="79">
        <f>SUMIFS('STOCK ON ORDER'!$L$2:$L$200,'STOCK ON ORDER'!$H$2:$H$200,VALUE($L30))</f>
        <v>0</v>
      </c>
      <c r="J30" s="78">
        <f t="shared" ref="J30:J31" si="7">F30*10</f>
        <v>0.51428571428571423</v>
      </c>
      <c r="K30" s="78">
        <f t="shared" si="3"/>
        <v>0</v>
      </c>
      <c r="L30" s="102">
        <v>2918</v>
      </c>
      <c r="M30" s="2"/>
    </row>
    <row r="31" spans="1:13" x14ac:dyDescent="0.25">
      <c r="A31" s="36" t="str">
        <f>IFERROR(VLOOKUP($B31,'AC and RGM only'!$K$2:$L$250,2,FALSE),"")</f>
        <v>DRINK SOLO CAN</v>
      </c>
      <c r="B31" s="24">
        <v>15735</v>
      </c>
      <c r="D31" s="99">
        <v>30</v>
      </c>
      <c r="E31" s="100" t="s">
        <v>186</v>
      </c>
      <c r="F31" s="101">
        <f>AVERAGE(_xlfn.XLOOKUP($B31,'AC and RGM only'!$K$1:$K$150,'AC and RGM only'!$N$1:$T$150))</f>
        <v>6.5714285714285711E-2</v>
      </c>
      <c r="G31" s="77">
        <f t="array" ref="G31">_xlfn.XLOOKUP($B31,VALUE('STOCK ON HAND'!$E$1:$E$200),'STOCK ON HAND'!$H$1:$H$200,0)/D31</f>
        <v>1.0333333333333334</v>
      </c>
      <c r="H31" s="78">
        <f t="shared" si="4"/>
        <v>15.724637681159422</v>
      </c>
      <c r="I31" s="79">
        <f>SUMIFS('STOCK ON ORDER'!$L$2:$L$200,'STOCK ON ORDER'!$H$2:$H$200,VALUE($L31))</f>
        <v>0</v>
      </c>
      <c r="J31" s="78">
        <f t="shared" si="7"/>
        <v>0.65714285714285714</v>
      </c>
      <c r="K31" s="78">
        <f t="shared" si="3"/>
        <v>0</v>
      </c>
      <c r="L31" s="103">
        <v>10004425</v>
      </c>
      <c r="M31" s="2"/>
    </row>
    <row r="32" spans="1:13" x14ac:dyDescent="0.25">
      <c r="A32" s="36" t="str">
        <f>IFERROR(VLOOKUP($B32,'AC and RGM only'!$K$2:$L$250,2,FALSE),"")</f>
        <v>DRINK SOLO LEMON BIB 15L</v>
      </c>
      <c r="B32" s="104">
        <v>16525</v>
      </c>
      <c r="D32" s="99">
        <v>15</v>
      </c>
      <c r="E32" s="109" t="s">
        <v>187</v>
      </c>
      <c r="F32" s="101">
        <f>AVERAGE(_xlfn.XLOOKUP($B32,'AC and RGM only'!$K$1:$K$150,'AC and RGM only'!$N$1:$T$150))</f>
        <v>3.1428571428571424E-2</v>
      </c>
      <c r="G32" s="77">
        <f t="array" ref="G32">_xlfn.XLOOKUP($B32,VALUE('STOCK ON HAND'!$E$1:$E$150),'STOCK ON HAND'!$H$1:$H$150,0)/D32</f>
        <v>3.496</v>
      </c>
      <c r="H32" s="78">
        <f t="shared" si="4"/>
        <v>111.23636363636365</v>
      </c>
      <c r="I32" s="79">
        <f>SUMIFS('STOCK ON ORDER'!$L$2:$L$200,'STOCK ON ORDER'!$H$2:$H$200,VALUE($L32))</f>
        <v>0</v>
      </c>
      <c r="J32" s="78">
        <v>3</v>
      </c>
      <c r="K32" s="78">
        <f>IFERROR(MAX(0,J32-G32-I32),0)</f>
        <v>0</v>
      </c>
      <c r="L32" s="102">
        <v>4068</v>
      </c>
      <c r="M32" s="2"/>
    </row>
    <row r="33" spans="1:13" x14ac:dyDescent="0.25">
      <c r="A33" s="36" t="str">
        <f>IFERROR(VLOOKUP($B33,'AC and RGM only'!$K$2:$L$250,2,FALSE),"")</f>
        <v>DRINK SUNKIST ORANGE 600ML</v>
      </c>
      <c r="B33" s="24">
        <v>16523</v>
      </c>
      <c r="D33" s="99">
        <v>24</v>
      </c>
      <c r="E33" s="100" t="s">
        <v>188</v>
      </c>
      <c r="F33" s="101">
        <f>AVERAGE(_xlfn.XLOOKUP($B33,'AC and RGM only'!$K$1:$K$150,'AC and RGM only'!$N$1:$T$150))</f>
        <v>4.1428571428571433E-2</v>
      </c>
      <c r="G33" s="77">
        <f t="array" ref="G33">_xlfn.XLOOKUP($B33,VALUE('STOCK ON HAND'!$E$1:$E$200),'STOCK ON HAND'!$H$1:$H$200,0)/D33</f>
        <v>0.5</v>
      </c>
      <c r="H33" s="78">
        <f t="shared" si="4"/>
        <v>12.068965517241379</v>
      </c>
      <c r="I33" s="79">
        <f>SUMIFS('STOCK ON ORDER'!$L$2:$L$200,'STOCK ON ORDER'!$H$2:$H$200,VALUE($L33))</f>
        <v>0</v>
      </c>
      <c r="J33" s="78">
        <f t="shared" ref="J33:J34" si="8">F33*10</f>
        <v>0.41428571428571431</v>
      </c>
      <c r="K33" s="78">
        <f t="shared" si="3"/>
        <v>0</v>
      </c>
      <c r="L33" s="103">
        <v>2938</v>
      </c>
      <c r="M33" s="2"/>
    </row>
    <row r="34" spans="1:13" x14ac:dyDescent="0.25">
      <c r="A34" s="36" t="str">
        <f>IFERROR(VLOOKUP($B34,'AC and RGM only'!$K$2:$L$250,2,FALSE),"")</f>
        <v>DRINK SUNKIST ORANGE CAN</v>
      </c>
      <c r="B34" s="24">
        <v>15733</v>
      </c>
      <c r="D34" s="99">
        <v>30</v>
      </c>
      <c r="E34" s="100" t="s">
        <v>189</v>
      </c>
      <c r="F34" s="101">
        <f>AVERAGE(_xlfn.XLOOKUP($B34,'AC and RGM only'!$K$1:$K$150,'AC and RGM only'!$N$1:$T$150))</f>
        <v>6.9999999999999993E-2</v>
      </c>
      <c r="G34" s="77">
        <f t="array" ref="G34">_xlfn.XLOOKUP($B34,VALUE('STOCK ON HAND'!$E$1:$E$200),'STOCK ON HAND'!$H$1:$H$200,0)/D34</f>
        <v>0.36666666666666664</v>
      </c>
      <c r="H34" s="78">
        <f t="shared" si="4"/>
        <v>5.2380952380952381</v>
      </c>
      <c r="I34" s="79">
        <f>SUMIFS('STOCK ON ORDER'!$L$2:$L$200,'STOCK ON ORDER'!$H$2:$H$200,VALUE($L34))</f>
        <v>1</v>
      </c>
      <c r="J34" s="78">
        <f t="shared" si="8"/>
        <v>0.7</v>
      </c>
      <c r="K34" s="78">
        <f t="shared" si="3"/>
        <v>0</v>
      </c>
      <c r="L34" s="102">
        <v>10006573</v>
      </c>
      <c r="M34" s="2"/>
    </row>
    <row r="35" spans="1:13" x14ac:dyDescent="0.25">
      <c r="A35" s="36" t="str">
        <f>IFERROR(VLOOKUP($B35,'AC and RGM only'!$K$2:$L$250,2,FALSE),"")</f>
        <v>DRINK SUNKIST ORANGE BIB 15L</v>
      </c>
      <c r="B35" s="104">
        <v>16524</v>
      </c>
      <c r="D35" s="99">
        <v>15</v>
      </c>
      <c r="E35" s="109" t="s">
        <v>190</v>
      </c>
      <c r="F35" s="101">
        <f>AVERAGE(_xlfn.XLOOKUP($B35,'AC and RGM only'!$K$1:$K$150,'AC and RGM only'!$N$1:$T$150))</f>
        <v>2.1428571428571429E-2</v>
      </c>
      <c r="G35" s="77">
        <f t="array" ref="G35">_xlfn.XLOOKUP($B35,VALUE('STOCK ON HAND'!$E$1:$E$150),'STOCK ON HAND'!$H$1:$H$150,0)/D35</f>
        <v>2.992</v>
      </c>
      <c r="H35" s="78">
        <f t="shared" si="4"/>
        <v>139.62666666666667</v>
      </c>
      <c r="I35" s="79">
        <f>SUMIFS('STOCK ON ORDER'!$L$2:$L$200,'STOCK ON ORDER'!$H$2:$H$200,VALUE($L35))</f>
        <v>0</v>
      </c>
      <c r="J35" s="78">
        <v>3</v>
      </c>
      <c r="K35" s="78">
        <f>IFERROR(MAX(0,J35-G35-I35),0)</f>
        <v>8.0000000000000071E-3</v>
      </c>
      <c r="L35" s="103">
        <v>4075</v>
      </c>
      <c r="M35" s="2"/>
    </row>
    <row r="36" spans="1:13" x14ac:dyDescent="0.25">
      <c r="A36" s="36" t="str">
        <f>IFERROR(VLOOKUP($B36,'AC and RGM only'!$K$2:$L$250,2,FALSE),"")</f>
        <v>DRINK WATER 600ML PET</v>
      </c>
      <c r="B36" s="24">
        <v>13839</v>
      </c>
      <c r="D36" s="99">
        <v>24</v>
      </c>
      <c r="E36" s="100" t="s">
        <v>191</v>
      </c>
      <c r="F36" s="101">
        <f>AVERAGE(_xlfn.XLOOKUP($B36,'AC and RGM only'!$K$1:$K$150,'AC and RGM only'!$N$1:$T$150))</f>
        <v>0.22</v>
      </c>
      <c r="G36" s="77">
        <f t="array" ref="G36">_xlfn.XLOOKUP($B36,VALUE('STOCK ON HAND'!$E$1:$E$200),'STOCK ON HAND'!$H$1:$H$200,0)/D36</f>
        <v>1.875</v>
      </c>
      <c r="H36" s="78">
        <f t="shared" si="4"/>
        <v>8.5227272727272734</v>
      </c>
      <c r="I36" s="79">
        <f>SUMIFS('STOCK ON ORDER'!$L$2:$L$200,'STOCK ON ORDER'!$H$2:$H$200,VALUE($L36))</f>
        <v>1</v>
      </c>
      <c r="J36" s="78">
        <f t="shared" ref="J36" si="9">F36*10</f>
        <v>2.2000000000000002</v>
      </c>
      <c r="K36" s="78">
        <f t="shared" si="3"/>
        <v>0</v>
      </c>
      <c r="L36" s="102">
        <v>10006282</v>
      </c>
      <c r="M36" s="2"/>
    </row>
    <row r="37" spans="1:13" x14ac:dyDescent="0.25">
      <c r="B37" s="64"/>
    </row>
    <row r="38" spans="1:13" x14ac:dyDescent="0.25">
      <c r="B38" s="64"/>
      <c r="E38" s="110"/>
    </row>
    <row r="39" spans="1:13" x14ac:dyDescent="0.25">
      <c r="B39" s="64"/>
    </row>
  </sheetData>
  <mergeCells count="3">
    <mergeCell ref="E2:K3"/>
    <mergeCell ref="L2:M5"/>
    <mergeCell ref="B3:B5"/>
  </mergeCells>
  <conditionalFormatting sqref="A6:A36">
    <cfRule type="expression" dxfId="28" priority="74">
      <formula>AND($A6&lt;&gt;"",$E6&lt;&gt;"",SUMPRODUCT(--ISNUMBER(SEARCH(" "&amp;TRIM(MID(SUBSTITUTE(" "&amp;$E6&amp;" "," ",REPT(" ",100)),(ROW(INDIRECT("1:"&amp;(LEN($E6)-LEN(SUBSTITUTE($E6," ",""))+1))))*100,100))&amp;" "," "&amp;$A6&amp;" ")))&gt;=1)</formula>
    </cfRule>
    <cfRule type="expression" dxfId="27" priority="77">
      <formula>AND($A6&lt;&gt;"",$E6&lt;&gt;"",SUMPRODUCT(--ISNUMBER(SEARCH(" "&amp;TRIM(MID(SUBSTITUTE(" "&amp;$E6&amp;" "," ",REPT(" ",100)),(ROW(INDIRECT("1:"&amp;(LEN($E6)-LEN(SUBSTITUTE($E6," ",""))+1))))*100,100))&amp;" "," "&amp;$A6&amp;" ")))=0)</formula>
    </cfRule>
  </conditionalFormatting>
  <conditionalFormatting sqref="F6:H36">
    <cfRule type="expression" dxfId="26" priority="1">
      <formula>AND($H6&lt;5,$I6+$G6&lt;$F6*5)</formula>
    </cfRule>
  </conditionalFormatting>
  <conditionalFormatting sqref="H6:H36">
    <cfRule type="expression" dxfId="25" priority="2">
      <formula>AND(ISNUMBER(H6), H6&lt;5)</formula>
    </cfRule>
  </conditionalFormatting>
  <conditionalFormatting sqref="I6:J6 J7:J14 I7:I36">
    <cfRule type="expression" dxfId="24" priority="65">
      <formula>AND($H6&lt;5,$I6+$G6&lt;$F6*5)</formula>
    </cfRule>
  </conditionalFormatting>
  <conditionalFormatting sqref="J19:J22">
    <cfRule type="expression" dxfId="23" priority="53">
      <formula>AND($H19&lt;5,$I19+$G19&lt;$F19*5)</formula>
    </cfRule>
  </conditionalFormatting>
  <conditionalFormatting sqref="J24:J27">
    <cfRule type="expression" dxfId="22" priority="41">
      <formula>AND($H24&lt;5,$I24+$G24&lt;$F24*5)</formula>
    </cfRule>
  </conditionalFormatting>
  <conditionalFormatting sqref="J30:J31">
    <cfRule type="expression" dxfId="21" priority="35">
      <formula>AND($H30&lt;5,$I30+$G30&lt;$F30*5)</formula>
    </cfRule>
  </conditionalFormatting>
  <conditionalFormatting sqref="J33:J34">
    <cfRule type="expression" dxfId="20" priority="29">
      <formula>AND($H33&lt;5,$I33+$G33&lt;$F33*5)</formula>
    </cfRule>
  </conditionalFormatting>
  <conditionalFormatting sqref="J36">
    <cfRule type="expression" dxfId="19" priority="26">
      <formula>AND($H36&lt;5,$I36+$G36&lt;$F36*5)</formula>
    </cfRule>
  </conditionalFormatting>
  <conditionalFormatting sqref="K6:K27 J15:K18 J23:K23 J28:K29 K29:K34 J32:K32 J35:K35 K36">
    <cfRule type="expression" dxfId="18" priority="72">
      <formula>AND($H6&lt;5,$I6+$G6&lt;$F6*5)</formula>
    </cfRule>
  </conditionalFormatting>
  <conditionalFormatting sqref="K6:K36">
    <cfRule type="expression" dxfId="17" priority="71">
      <formula>K6&gt;0</formula>
    </cfRule>
    <cfRule type="cellIs" dxfId="16" priority="73" operator="equal">
      <formula>0</formula>
    </cfRule>
  </conditionalFormatting>
  <dataValidations count="1">
    <dataValidation showInputMessage="1" showErrorMessage="1" sqref="G6:G36" xr:uid="{00000000-0002-0000-0400-000000000000}"/>
  </dataValidations>
  <pageMargins left="0.7" right="0.7" top="0.75" bottom="0.75" header="0.3" footer="0.3"/>
  <pageSetup scale="96" fitToHeight="0" orientation="landscape" useFirstPageNumber="1" horizontalDpi="4294967295" verticalDpi="4294967295" r:id="rId1"/>
  <headerFooter>
    <oddFooter>&amp;L_x000D_&amp;1#&amp;"Aptos"&amp;10&amp;K000000 Collins Foods - Internal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79998168889431442"/>
    <pageSetUpPr fitToPage="1"/>
  </sheetPr>
  <dimension ref="A1:M11"/>
  <sheetViews>
    <sheetView showGridLines="0" topLeftCell="C1" zoomScale="90" zoomScaleNormal="90" workbookViewId="0">
      <selection activeCell="K8" sqref="K8"/>
    </sheetView>
  </sheetViews>
  <sheetFormatPr defaultColWidth="9.140625" defaultRowHeight="15" x14ac:dyDescent="0.25"/>
  <cols>
    <col min="1" max="1" width="2.7109375" style="111" hidden="1" customWidth="1"/>
    <col min="2" max="2" width="9.140625" style="111" hidden="1" customWidth="1"/>
    <col min="3" max="3" width="9.140625" style="36" customWidth="1"/>
    <col min="4" max="4" width="9.140625" style="111" hidden="1" customWidth="1"/>
    <col min="5" max="5" width="23.7109375" style="36" customWidth="1"/>
    <col min="6" max="6" width="20.7109375" style="36" hidden="1" customWidth="1"/>
    <col min="7" max="9" width="20.7109375" style="36" customWidth="1"/>
    <col min="10" max="10" width="20.7109375" style="36" hidden="1" customWidth="1"/>
    <col min="11" max="11" width="20.7109375" style="36" customWidth="1"/>
    <col min="12" max="13" width="9.140625" style="111" hidden="1" customWidth="1"/>
    <col min="14" max="14" width="9.140625" style="36" customWidth="1"/>
    <col min="15" max="16384" width="9.140625" style="36"/>
  </cols>
  <sheetData>
    <row r="1" spans="1:13" x14ac:dyDescent="0.25">
      <c r="B1" s="112"/>
    </row>
    <row r="2" spans="1:13" ht="15" customHeight="1" x14ac:dyDescent="0.25">
      <c r="A2" s="113"/>
      <c r="B2" s="112"/>
      <c r="E2" s="239" t="s">
        <v>192</v>
      </c>
      <c r="F2" s="240"/>
      <c r="G2" s="240"/>
      <c r="H2" s="240"/>
      <c r="I2" s="240"/>
      <c r="J2" s="240"/>
      <c r="K2" s="240"/>
      <c r="L2" s="241" t="s">
        <v>64</v>
      </c>
      <c r="M2" s="241"/>
    </row>
    <row r="3" spans="1:13" ht="15" customHeight="1" x14ac:dyDescent="0.25">
      <c r="A3" s="114"/>
      <c r="B3" s="242" t="s">
        <v>65</v>
      </c>
      <c r="E3" s="239"/>
      <c r="F3" s="240"/>
      <c r="G3" s="240"/>
      <c r="H3" s="240"/>
      <c r="I3" s="240"/>
      <c r="J3" s="240"/>
      <c r="K3" s="240"/>
      <c r="L3" s="241"/>
      <c r="M3" s="241"/>
    </row>
    <row r="4" spans="1:13" ht="3.75" customHeight="1" x14ac:dyDescent="0.25">
      <c r="A4" s="114"/>
      <c r="B4" s="242"/>
      <c r="E4" s="68"/>
      <c r="F4" s="68"/>
      <c r="G4" s="68"/>
      <c r="H4" s="68"/>
      <c r="I4" s="68"/>
      <c r="J4" s="68"/>
      <c r="L4" s="241"/>
      <c r="M4" s="241"/>
    </row>
    <row r="5" spans="1:13" ht="15.75" customHeight="1" x14ac:dyDescent="0.25">
      <c r="A5" s="114"/>
      <c r="B5" s="243"/>
      <c r="D5" s="115" t="s">
        <v>66</v>
      </c>
      <c r="E5" s="70" t="s">
        <v>30</v>
      </c>
      <c r="F5" s="90" t="s">
        <v>67</v>
      </c>
      <c r="G5" s="90" t="s">
        <v>68</v>
      </c>
      <c r="H5" s="90" t="s">
        <v>69</v>
      </c>
      <c r="I5" s="90" t="s">
        <v>70</v>
      </c>
      <c r="J5" s="90" t="s">
        <v>71</v>
      </c>
      <c r="K5" s="90" t="s">
        <v>72</v>
      </c>
      <c r="L5" s="241"/>
      <c r="M5" s="241"/>
    </row>
    <row r="6" spans="1:13" x14ac:dyDescent="0.25">
      <c r="A6" s="111" t="str">
        <f>IFERROR(VLOOKUP($B6,'AC and RGM only'!$K$2:$L$250,2,FALSE),"")</f>
        <v/>
      </c>
      <c r="B6" s="116"/>
      <c r="C6" s="73"/>
      <c r="D6" s="117">
        <v>2</v>
      </c>
      <c r="E6" s="118" t="s">
        <v>193</v>
      </c>
      <c r="F6" s="119"/>
      <c r="G6" s="120"/>
      <c r="H6" s="121"/>
      <c r="I6" s="120"/>
      <c r="J6" s="121"/>
      <c r="K6" s="121"/>
      <c r="L6" s="122">
        <v>8418</v>
      </c>
    </row>
    <row r="7" spans="1:13" x14ac:dyDescent="0.25">
      <c r="A7" s="111" t="str">
        <f>IFERROR(VLOOKUP($B7,'AC and RGM only'!$K$2:$L$250,2,FALSE),"")</f>
        <v>CREAM SOUR LIGHT</v>
      </c>
      <c r="B7" s="116">
        <v>12945</v>
      </c>
      <c r="C7" s="73"/>
      <c r="D7" s="117">
        <v>5</v>
      </c>
      <c r="E7" s="75" t="s">
        <v>194</v>
      </c>
      <c r="F7" s="101">
        <f>AVERAGE(_xlfn.XLOOKUP($B7,'AC and RGM only'!$K$1:$K$150,'AC and RGM only'!$N$1:$T$150))</f>
        <v>0.93142857142857138</v>
      </c>
      <c r="G7" s="77">
        <f t="array" ref="G7">_xlfn.XLOOKUP($B7,VALUE('STOCK ON HAND'!$E$1:$E$150),'STOCK ON HAND'!$H$1:$H$150,0)/D7</f>
        <v>8.3360000000000003</v>
      </c>
      <c r="H7" s="78">
        <f t="shared" ref="H7:H8" si="0">IF($F7=0,0,($G7*1/$F7))</f>
        <v>8.9496932515337431</v>
      </c>
      <c r="I7" s="79">
        <f>SUMIFS('STOCK ON ORDER'!$L$1:$L$200,'STOCK ON ORDER'!$H$1:$H$200,VALUE($L7))</f>
        <v>0</v>
      </c>
      <c r="J7" s="78">
        <f t="shared" ref="J7:J8" si="1">F7*10</f>
        <v>9.3142857142857132</v>
      </c>
      <c r="K7" s="78">
        <f>IF(H7&gt;10,0,IFERROR(MAX(0,J7-G7-I7),0))</f>
        <v>0.97828571428571287</v>
      </c>
      <c r="L7" s="123">
        <v>8419</v>
      </c>
    </row>
    <row r="8" spans="1:13" x14ac:dyDescent="0.25">
      <c r="A8" s="111" t="str">
        <f>IFERROR(VLOOKUP($B8,'AC and RGM only'!$K$2:$L$250,2,FALSE),"")</f>
        <v>DRINK DARE ICED COFFEE DOUBLE</v>
      </c>
      <c r="B8" s="124">
        <v>38239</v>
      </c>
      <c r="C8" s="73"/>
      <c r="D8" s="117">
        <v>1</v>
      </c>
      <c r="E8" s="84" t="s">
        <v>195</v>
      </c>
      <c r="F8" s="101">
        <f>AVERAGE(_xlfn.XLOOKUP($B8,'AC and RGM only'!$K$1:$K$150,'AC and RGM only'!$N$1:$T$150))</f>
        <v>1.1428571428571428</v>
      </c>
      <c r="G8" s="77">
        <f t="array" ref="G8">_xlfn.XLOOKUP($B8,VALUE('STOCK ON HAND'!$E$1:$E$150),'STOCK ON HAND'!$H$1:$H$150,0)/D8</f>
        <v>15</v>
      </c>
      <c r="H8" s="78">
        <f t="shared" si="0"/>
        <v>13.125</v>
      </c>
      <c r="I8" s="79">
        <f>SUMIFS('STOCK ON ORDER'!$L$1:$L$200,'STOCK ON ORDER'!$H$1:$H$200,VALUE($L8))</f>
        <v>0</v>
      </c>
      <c r="J8" s="78">
        <f t="shared" si="1"/>
        <v>11.428571428571427</v>
      </c>
      <c r="K8" s="78">
        <f>IF(H8&gt;10,0,IFERROR(MAX(0,J8-G8-I8),0))</f>
        <v>0</v>
      </c>
      <c r="L8" s="122">
        <v>7769</v>
      </c>
    </row>
    <row r="9" spans="1:13" x14ac:dyDescent="0.25">
      <c r="B9" s="112"/>
    </row>
    <row r="10" spans="1:13" x14ac:dyDescent="0.25">
      <c r="B10" s="112"/>
      <c r="E10" s="110"/>
    </row>
    <row r="11" spans="1:13" x14ac:dyDescent="0.25">
      <c r="B11" s="112"/>
    </row>
  </sheetData>
  <sheetProtection algorithmName="SHA-512" hashValue="sIrmeHi4plB09115l+FWD/Nc0FWB57madzajiQPDuPPZNMzksJFMy3D8Vl6frctYaoaNQ7m2fkiNmKVUegqhcg==" saltValue="A00VqpSvDU3jWVcaJobQTg==" spinCount="100000" sheet="1" objects="1" scenarios="1"/>
  <mergeCells count="3">
    <mergeCell ref="E2:K3"/>
    <mergeCell ref="L2:M5"/>
    <mergeCell ref="B3:B5"/>
  </mergeCells>
  <conditionalFormatting sqref="A6:A8">
    <cfRule type="expression" dxfId="15" priority="21">
      <formula>AND($A6&lt;&gt;"",$E6&lt;&gt;"",SUMPRODUCT(--ISNUMBER(SEARCH(" "&amp;TRIM(MID(SUBSTITUTE(" "&amp;$E6&amp;" "," ",REPT(" ",100)),(ROW(INDIRECT("1:"&amp;(LEN($E6)-LEN(SUBSTITUTE($E6," ",""))+1))))*100,100))&amp;" "," "&amp;$A6&amp;" ")))&gt;=1)</formula>
    </cfRule>
    <cfRule type="expression" dxfId="14" priority="22">
      <formula>AND($A6&lt;&gt;"",$E6&lt;&gt;"",SUMPRODUCT(--ISNUMBER(SEARCH(" "&amp;TRIM(MID(SUBSTITUTE(" "&amp;$E6&amp;" "," ",REPT(" ",100)),(ROW(INDIRECT("1:"&amp;(LEN($E6)-LEN(SUBSTITUTE($E6," ",""))+1))))*100,100))&amp;" "," "&amp;$A6&amp;" ")))=0)</formula>
    </cfRule>
  </conditionalFormatting>
  <conditionalFormatting sqref="F6:J8">
    <cfRule type="expression" dxfId="13" priority="1">
      <formula>AND($H6&lt;5,$I6+$G6&lt;$F6*5)</formula>
    </cfRule>
  </conditionalFormatting>
  <conditionalFormatting sqref="H6:H8">
    <cfRule type="expression" dxfId="12" priority="2">
      <formula>AND(ISNUMBER(H6), H6&lt;5)</formula>
    </cfRule>
  </conditionalFormatting>
  <conditionalFormatting sqref="K7:K8">
    <cfRule type="expression" dxfId="11" priority="11">
      <formula>K7&gt;0</formula>
    </cfRule>
    <cfRule type="expression" dxfId="10" priority="12">
      <formula>AND($H7&lt;5,$I7+$G7&lt;$F7*5)</formula>
    </cfRule>
    <cfRule type="cellIs" dxfId="9" priority="13" operator="equal">
      <formula>0</formula>
    </cfRule>
  </conditionalFormatting>
  <dataValidations count="1">
    <dataValidation showInputMessage="1" showErrorMessage="1" sqref="G7:G8" xr:uid="{00000000-0002-0000-0500-000000000000}"/>
  </dataValidations>
  <pageMargins left="0.7" right="0.7" top="1.3149999999999999" bottom="0.75" header="0.3" footer="0.3"/>
  <pageSetup paperSize="9" fitToHeight="0" orientation="landscape" useFirstPageNumber="1" horizontalDpi="4294967295" verticalDpi="4294967295" r:id="rId1"/>
  <headerFooter>
    <oddFooter>&amp;L_x000D_&amp;1#&amp;"Aptos"&amp;10&amp;K000000 Collins Foods - Internal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79998168889431442"/>
    <pageSetUpPr fitToPage="1"/>
  </sheetPr>
  <dimension ref="A1:O38"/>
  <sheetViews>
    <sheetView showGridLines="0" topLeftCell="D1" zoomScale="90" zoomScaleNormal="90" workbookViewId="0">
      <selection activeCell="Y42" sqref="Y42"/>
    </sheetView>
  </sheetViews>
  <sheetFormatPr defaultColWidth="9.140625" defaultRowHeight="15" x14ac:dyDescent="0.25"/>
  <cols>
    <col min="1" max="1" width="2.7109375" style="36" hidden="1" customWidth="1"/>
    <col min="2" max="3" width="9.140625" style="36" hidden="1" customWidth="1"/>
    <col min="4" max="4" width="20.7109375" style="36" customWidth="1"/>
    <col min="5" max="5" width="20.85546875" style="36" customWidth="1"/>
    <col min="6" max="6" width="20.7109375" style="36" hidden="1" customWidth="1"/>
    <col min="7" max="9" width="20.7109375" style="36" customWidth="1"/>
    <col min="10" max="10" width="20.7109375" style="36" hidden="1" customWidth="1"/>
    <col min="11" max="11" width="20.7109375" style="36" customWidth="1"/>
    <col min="12" max="13" width="9.140625" style="36" hidden="1" customWidth="1"/>
    <col min="14" max="14" width="2.7109375" style="36" customWidth="1"/>
    <col min="15" max="15" width="9.140625" style="36" customWidth="1"/>
    <col min="16" max="16384" width="9.140625" style="36"/>
  </cols>
  <sheetData>
    <row r="1" spans="1:15" x14ac:dyDescent="0.25">
      <c r="B1" s="64"/>
    </row>
    <row r="2" spans="1:15" ht="15" customHeight="1" x14ac:dyDescent="0.25">
      <c r="A2" s="65"/>
      <c r="B2" s="64"/>
      <c r="E2" s="239" t="s">
        <v>196</v>
      </c>
      <c r="F2" s="240"/>
      <c r="G2" s="240"/>
      <c r="H2" s="240"/>
      <c r="I2" s="240"/>
      <c r="J2" s="240"/>
      <c r="K2" s="240"/>
      <c r="L2" s="158" t="s">
        <v>64</v>
      </c>
      <c r="M2" s="158"/>
    </row>
    <row r="3" spans="1:15" ht="15" customHeight="1" x14ac:dyDescent="0.25">
      <c r="A3" s="66"/>
      <c r="B3" s="159" t="s">
        <v>65</v>
      </c>
      <c r="E3" s="239"/>
      <c r="F3" s="240"/>
      <c r="G3" s="240"/>
      <c r="H3" s="240"/>
      <c r="I3" s="240"/>
      <c r="J3" s="240"/>
      <c r="K3" s="240"/>
      <c r="L3" s="158"/>
      <c r="M3" s="158"/>
    </row>
    <row r="4" spans="1:15" ht="3.75" customHeight="1" x14ac:dyDescent="0.25">
      <c r="A4" s="66"/>
      <c r="B4" s="159"/>
      <c r="E4" s="68"/>
      <c r="F4" s="68"/>
      <c r="G4" s="68"/>
      <c r="H4" s="68"/>
      <c r="I4" s="68"/>
      <c r="J4" s="68"/>
      <c r="L4" s="158"/>
      <c r="M4" s="158"/>
    </row>
    <row r="5" spans="1:15" ht="15.75" customHeight="1" x14ac:dyDescent="0.25">
      <c r="A5" s="66"/>
      <c r="B5" s="160"/>
      <c r="D5" s="70" t="s">
        <v>66</v>
      </c>
      <c r="E5" s="90" t="s">
        <v>30</v>
      </c>
      <c r="F5" s="90" t="s">
        <v>67</v>
      </c>
      <c r="G5" s="90" t="s">
        <v>68</v>
      </c>
      <c r="H5" s="90" t="s">
        <v>69</v>
      </c>
      <c r="I5" s="90" t="s">
        <v>70</v>
      </c>
      <c r="J5" s="90" t="s">
        <v>197</v>
      </c>
      <c r="K5" s="90" t="s">
        <v>72</v>
      </c>
      <c r="L5" s="158"/>
      <c r="M5" s="158"/>
      <c r="O5" s="125" t="s">
        <v>198</v>
      </c>
    </row>
    <row r="6" spans="1:15" x14ac:dyDescent="0.25">
      <c r="A6" s="36" t="str">
        <f>IFERROR(VLOOKUP($B6,'AC and RGM only'!$K$2:$L$250,2,FALSE),"")</f>
        <v>LETTUCE SHREDDED</v>
      </c>
      <c r="B6" s="91">
        <v>13016</v>
      </c>
      <c r="C6" s="73"/>
      <c r="D6" s="88">
        <v>8</v>
      </c>
      <c r="E6" s="126" t="s">
        <v>199</v>
      </c>
      <c r="F6" s="101">
        <f>AVERAGE(_xlfn.XLOOKUP($B6,'AC and RGM only'!$K$1:$K$150,'AC and RGM only'!$N$1:$T$150))</f>
        <v>0.91714285714285704</v>
      </c>
      <c r="G6" s="77">
        <f t="array" ref="G6">_xlfn.XLOOKUP($B6,VALUE('STOCK ON HAND'!$E$1:$E$150),'STOCK ON HAND'!$H$1:$H$150,0)/D6</f>
        <v>3.4249999999999998</v>
      </c>
      <c r="H6" s="78">
        <f t="shared" ref="H6:H9" si="0">IF($F6=0,0,($G6*1/$F6))</f>
        <v>3.7344236760124612</v>
      </c>
      <c r="I6" s="79">
        <f>SUMIFS('STOCK ON ORDER'!$L$1:$L$200,'STOCK ON ORDER'!$H$1:$H$200,$L6)</f>
        <v>4</v>
      </c>
      <c r="J6" s="78">
        <f ca="1">IF($G$32="MONDAY",E21,
 IF($G$32="TUESDAY",E27,
 IF($G$32="WEDNESDAY",H21,
 IF($G$32="THURSDAY",H27,
 IF($G$32="SATURDAY",K21,
 IF($G$32="SUNDAY",K27,0))))))</f>
        <v>9</v>
      </c>
      <c r="K6" s="78">
        <f ca="1">ROUNDUP(IF(,0,IFERROR(MAX(0,J6-G6-I6),0)),0)</f>
        <v>2</v>
      </c>
      <c r="L6" s="127" t="s">
        <v>200</v>
      </c>
      <c r="O6" s="128">
        <v>2</v>
      </c>
    </row>
    <row r="7" spans="1:15" x14ac:dyDescent="0.25">
      <c r="A7" s="36" t="str">
        <f>IFERROR(VLOOKUP($B7,'AC and RGM only'!$K$2:$L$250,2,FALSE),"")</f>
        <v>ONION BROWN DICED</v>
      </c>
      <c r="B7" s="91">
        <v>15659</v>
      </c>
      <c r="C7" s="73"/>
      <c r="D7" s="88">
        <v>4</v>
      </c>
      <c r="E7" s="126" t="s">
        <v>201</v>
      </c>
      <c r="F7" s="101">
        <f>AVERAGE(_xlfn.XLOOKUP($B7,'AC and RGM only'!$K$1:$K$150,'AC and RGM only'!$N$1:$T$150))</f>
        <v>0.26285714285714279</v>
      </c>
      <c r="G7" s="77">
        <f t="array" ref="G7">_xlfn.XLOOKUP($B7,VALUE('STOCK ON HAND'!$E$1:$E$150),'STOCK ON HAND'!$H$1:$H$150,0)/D7</f>
        <v>7.7499999999999999E-2</v>
      </c>
      <c r="H7" s="78">
        <f t="shared" si="0"/>
        <v>0.29483695652173919</v>
      </c>
      <c r="I7" s="79">
        <f>SUMIFS('STOCK ON ORDER'!$L$1:$L$200,'STOCK ON ORDER'!$H$1:$H$200,$L7)</f>
        <v>1</v>
      </c>
      <c r="J7" s="78">
        <f ca="1">IF($G$32="MONDAY",E22,
 IF($G$32="TUESDAY",E28,
 IF($G$32="WEDNESDAY",H22,
 IF($G$32="THURSDAY",H28,
 IF($G$32="SATURDAY",K22,
 IF($G$32="SUNDAY",K28,0))))))</f>
        <v>1.8399999999999999</v>
      </c>
      <c r="K7" s="78">
        <f ca="1">IF(,0,IFERROR(MAX(0,J7-G7-I7),0))</f>
        <v>0.76249999999999996</v>
      </c>
      <c r="L7" s="127" t="s">
        <v>202</v>
      </c>
    </row>
    <row r="8" spans="1:15" x14ac:dyDescent="0.25">
      <c r="A8" s="36" t="str">
        <f>IFERROR(VLOOKUP($B8,'AC and RGM only'!$K$2:$L$250,2,FALSE),"")</f>
        <v>SALAD CORIANDER CHOPPED</v>
      </c>
      <c r="B8" s="93">
        <v>38670</v>
      </c>
      <c r="C8" s="73"/>
      <c r="D8" s="88">
        <v>0.5</v>
      </c>
      <c r="E8" s="126" t="s">
        <v>203</v>
      </c>
      <c r="F8" s="101">
        <f>AVERAGE(_xlfn.XLOOKUP($B8,'AC and RGM only'!$K$1:$K$150,'AC and RGM only'!$N$1:$T$150))</f>
        <v>0.31285714285714283</v>
      </c>
      <c r="G8" s="77">
        <f t="array" ref="G8">_xlfn.XLOOKUP($B8,VALUE('STOCK ON HAND'!$E$1:$E$150),'STOCK ON HAND'!$H$1:$H$150,0)/D8</f>
        <v>0.94</v>
      </c>
      <c r="H8" s="78">
        <f t="shared" si="0"/>
        <v>3.0045662100456623</v>
      </c>
      <c r="I8" s="79">
        <f>SUMIFS('STOCK ON ORDER'!$L$1:$L$200,'STOCK ON ORDER'!$H$1:$H$200,$L8)</f>
        <v>1</v>
      </c>
      <c r="J8" s="78">
        <f ca="1">IF($G$32="MONDAY",E23,
 IF($G$32="TUESDAY",E29,
 IF($G$32="WEDNESDAY",H23,
 IF($G$32="THURSDAY",H29,
 IF($G$32="SATURDAY",K23,
 IF($G$32="SUNDAY",K29,0))))))</f>
        <v>2.1900000000000004</v>
      </c>
      <c r="K8" s="78">
        <f t="shared" ref="K8" ca="1" si="1">IF(,0,IFERROR(MAX(0,J8-G8-I8),0))</f>
        <v>0.25000000000000044</v>
      </c>
      <c r="L8" s="127" t="s">
        <v>204</v>
      </c>
    </row>
    <row r="9" spans="1:15" x14ac:dyDescent="0.25">
      <c r="A9" s="36" t="str">
        <f>IFERROR(VLOOKUP($B9,'AC and RGM only'!$K$2:$L$250,2,FALSE),"")</f>
        <v>TOMATO DICED</v>
      </c>
      <c r="B9" s="93">
        <v>15112</v>
      </c>
      <c r="D9" s="88">
        <v>4</v>
      </c>
      <c r="E9" s="129" t="s">
        <v>205</v>
      </c>
      <c r="F9" s="101">
        <f>AVERAGE(_xlfn.XLOOKUP($B9,'AC and RGM only'!$K$1:$K$150,'AC and RGM only'!$N$1:$T$150))</f>
        <v>1.2014285714285715</v>
      </c>
      <c r="G9" s="77">
        <f t="array" ref="G9">_xlfn.XLOOKUP($B9,VALUE('STOCK ON HAND'!$E$1:$E$150),'STOCK ON HAND'!$H$1:$H$150,0)/D9</f>
        <v>4.0274999999999999</v>
      </c>
      <c r="H9" s="78">
        <f t="shared" si="0"/>
        <v>3.3522592152199757</v>
      </c>
      <c r="I9" s="79">
        <f>SUMIFS('STOCK ON ORDER'!$L$1:$L$200,'STOCK ON ORDER'!$H$1:$H$200,$L9)</f>
        <v>4</v>
      </c>
      <c r="J9" s="78">
        <f ca="1">IF($G$32="MONDAY",E24,
 IF($G$32="TUESDAY",E30,
 IF($G$32="WEDNESDAY",H24,
 IF($G$32="THURSDAY",H30,
 IF($G$32="SATURDAY",K24,
 IF($G$32="SUNDAY",K30,0))))))</f>
        <v>9</v>
      </c>
      <c r="K9" s="78">
        <f ca="1">IF(,0,IFERROR(MAX(0,J9-G9-I9),0))</f>
        <v>0.97250000000000014</v>
      </c>
      <c r="L9" s="127" t="s">
        <v>206</v>
      </c>
    </row>
    <row r="12" spans="1:15" hidden="1" x14ac:dyDescent="0.25">
      <c r="E12" s="130" t="s">
        <v>207</v>
      </c>
      <c r="F12" s="130" t="s">
        <v>208</v>
      </c>
      <c r="G12" s="130" t="s">
        <v>209</v>
      </c>
      <c r="H12" s="130" t="s">
        <v>210</v>
      </c>
      <c r="I12" s="130" t="s">
        <v>211</v>
      </c>
      <c r="J12" s="130" t="s">
        <v>212</v>
      </c>
      <c r="K12" s="130" t="s">
        <v>213</v>
      </c>
    </row>
    <row r="13" spans="1:15" hidden="1" x14ac:dyDescent="0.25">
      <c r="B13" s="91">
        <v>13016</v>
      </c>
      <c r="D13" s="131" t="s">
        <v>199</v>
      </c>
      <c r="E13" s="130">
        <f t="array" ref="E13">INDEX('AC and RGM only'!$N:$T, MATCH(TRUE, ISNUMBER(SEARCH($D13, 'AC and RGM only'!$L:$L)), 0), MATCH(TRUE, ISNUMBER(SEARCH(E$12, 'AC and RGM only'!$D$2:$J$2)), 0))</f>
        <v>0.56000000000000005</v>
      </c>
      <c r="F13" s="130">
        <f t="array" ref="F13">INDEX('AC and RGM only'!$N:$T, MATCH(TRUE, ISNUMBER(SEARCH($D13, 'AC and RGM only'!$L:$L)), 0), MATCH(TRUE, ISNUMBER(SEARCH(F$12, 'AC and RGM only'!$D$2:$J$2)), 0))</f>
        <v>0.69</v>
      </c>
      <c r="G13" s="130">
        <f t="array" ref="G13">INDEX('AC and RGM only'!$N:$T, MATCH(TRUE, ISNUMBER(SEARCH($D13, 'AC and RGM only'!$L:$L)), 0), MATCH(TRUE, ISNUMBER(SEARCH(G$12, 'AC and RGM only'!$D$2:$J$2)), 0))</f>
        <v>0.7</v>
      </c>
      <c r="H13" s="130">
        <f t="array" ref="H13">INDEX('AC and RGM only'!$N:$T, MATCH(TRUE, ISNUMBER(SEARCH($D13, 'AC and RGM only'!$L:$L)), 0), MATCH(TRUE, ISNUMBER(SEARCH(H$12, 'AC and RGM only'!$D$2:$J$2)), 0))</f>
        <v>0.86</v>
      </c>
      <c r="I13" s="130">
        <f t="array" ref="I13">INDEX('AC and RGM only'!$N:$T, MATCH(TRUE, ISNUMBER(SEARCH($D13, 'AC and RGM only'!$L:$L)), 0), MATCH(TRUE, ISNUMBER(SEARCH(I$12, 'AC and RGM only'!$D$2:$J$2)), 0))</f>
        <v>1.33</v>
      </c>
      <c r="J13" s="130">
        <f t="array" ref="J13">INDEX('AC and RGM only'!$N:$T, MATCH(TRUE, ISNUMBER(SEARCH($D13, 'AC and RGM only'!$L:$L)), 0), MATCH(TRUE, ISNUMBER(SEARCH(J$12, 'AC and RGM only'!$D$2:$J$2)), 0))</f>
        <v>1.1599999999999999</v>
      </c>
      <c r="K13" s="130">
        <f t="array" ref="K13">INDEX('AC and RGM only'!$N:$T, MATCH(TRUE, ISNUMBER(SEARCH($D13, 'AC and RGM only'!$L:$L)), 0), MATCH(TRUE, ISNUMBER(SEARCH(K$12, 'AC and RGM only'!$D$2:$J$2)), 0))</f>
        <v>1.1200000000000001</v>
      </c>
    </row>
    <row r="14" spans="1:15" hidden="1" x14ac:dyDescent="0.25">
      <c r="B14" s="91">
        <v>15659</v>
      </c>
      <c r="D14" s="131" t="s">
        <v>201</v>
      </c>
      <c r="E14" s="130">
        <f t="array" ref="E14">INDEX('AC and RGM only'!$N:$T, MATCH(TRUE, ISNUMBER(SEARCH($D14, 'AC and RGM only'!$L:$L)), 0), MATCH(TRUE, ISNUMBER(SEARCH(E$12, 'AC and RGM only'!$D$2:$J$2)), 0))</f>
        <v>0.15</v>
      </c>
      <c r="F14" s="130">
        <f t="array" ref="F14">INDEX('AC and RGM only'!$N:$T, MATCH(TRUE, ISNUMBER(SEARCH($D14, 'AC and RGM only'!$L:$L)), 0), MATCH(TRUE, ISNUMBER(SEARCH(F$12, 'AC and RGM only'!$D$2:$J$2)), 0))</f>
        <v>0.19</v>
      </c>
      <c r="G14" s="130">
        <f t="array" ref="G14">INDEX('AC and RGM only'!$N:$T, MATCH(TRUE, ISNUMBER(SEARCH($D14, 'AC and RGM only'!$L:$L)), 0), MATCH(TRUE, ISNUMBER(SEARCH(G$12, 'AC and RGM only'!$D$2:$J$2)), 0))</f>
        <v>0.16</v>
      </c>
      <c r="H14" s="130">
        <f t="array" ref="H14">INDEX('AC and RGM only'!$N:$T, MATCH(TRUE, ISNUMBER(SEARCH($D14, 'AC and RGM only'!$L:$L)), 0), MATCH(TRUE, ISNUMBER(SEARCH(H$12, 'AC and RGM only'!$D$2:$J$2)), 0))</f>
        <v>0.24</v>
      </c>
      <c r="I14" s="130">
        <f t="array" ref="I14">INDEX('AC and RGM only'!$N:$T, MATCH(TRUE, ISNUMBER(SEARCH($D14, 'AC and RGM only'!$L:$L)), 0), MATCH(TRUE, ISNUMBER(SEARCH(I$12, 'AC and RGM only'!$D$2:$J$2)), 0))</f>
        <v>0.39</v>
      </c>
      <c r="J14" s="130">
        <f t="array" ref="J14">INDEX('AC and RGM only'!$N:$T, MATCH(TRUE, ISNUMBER(SEARCH($D14, 'AC and RGM only'!$L:$L)), 0), MATCH(TRUE, ISNUMBER(SEARCH(J$12, 'AC and RGM only'!$D$2:$J$2)), 0))</f>
        <v>0.31</v>
      </c>
      <c r="K14" s="130">
        <f t="array" ref="K14">INDEX('AC and RGM only'!$N:$T, MATCH(TRUE, ISNUMBER(SEARCH($D14, 'AC and RGM only'!$L:$L)), 0), MATCH(TRUE, ISNUMBER(SEARCH(K$12, 'AC and RGM only'!$D$2:$J$2)), 0))</f>
        <v>0.4</v>
      </c>
    </row>
    <row r="15" spans="1:15" hidden="1" x14ac:dyDescent="0.25">
      <c r="B15" s="93">
        <v>38670</v>
      </c>
      <c r="D15" s="131" t="s">
        <v>203</v>
      </c>
      <c r="E15" s="130">
        <f t="array" ref="E15">INDEX('AC and RGM only'!$N:$T, MATCH(TRUE, ISNUMBER(SEARCH($D15, 'AC and RGM only'!$L:$L)), 0), MATCH(TRUE, ISNUMBER(SEARCH(E$12, 'AC and RGM only'!$D$2:$J$2)), 0))</f>
        <v>0.18</v>
      </c>
      <c r="F15" s="130">
        <f t="array" ref="F15">INDEX('AC and RGM only'!$N:$T, MATCH(TRUE, ISNUMBER(SEARCH($D15, 'AC and RGM only'!$L:$L)), 0), MATCH(TRUE, ISNUMBER(SEARCH(F$12, 'AC and RGM only'!$D$2:$J$2)), 0))</f>
        <v>0.23</v>
      </c>
      <c r="G15" s="130">
        <f t="array" ref="G15">INDEX('AC and RGM only'!$N:$T, MATCH(TRUE, ISNUMBER(SEARCH($D15, 'AC and RGM only'!$L:$L)), 0), MATCH(TRUE, ISNUMBER(SEARCH(G$12, 'AC and RGM only'!$D$2:$J$2)), 0))</f>
        <v>0.2</v>
      </c>
      <c r="H15" s="130">
        <f t="array" ref="H15">INDEX('AC and RGM only'!$N:$T, MATCH(TRUE, ISNUMBER(SEARCH($D15, 'AC and RGM only'!$L:$L)), 0), MATCH(TRUE, ISNUMBER(SEARCH(H$12, 'AC and RGM only'!$D$2:$J$2)), 0))</f>
        <v>0.28000000000000003</v>
      </c>
      <c r="I15" s="130">
        <f t="array" ref="I15">INDEX('AC and RGM only'!$N:$T, MATCH(TRUE, ISNUMBER(SEARCH($D15, 'AC and RGM only'!$L:$L)), 0), MATCH(TRUE, ISNUMBER(SEARCH(I$12, 'AC and RGM only'!$D$2:$J$2)), 0))</f>
        <v>0.46</v>
      </c>
      <c r="J15" s="130">
        <f t="array" ref="J15">INDEX('AC and RGM only'!$N:$T, MATCH(TRUE, ISNUMBER(SEARCH($D15, 'AC and RGM only'!$L:$L)), 0), MATCH(TRUE, ISNUMBER(SEARCH(J$12, 'AC and RGM only'!$D$2:$J$2)), 0))</f>
        <v>0.37</v>
      </c>
      <c r="K15" s="130">
        <f t="array" ref="K15">INDEX('AC and RGM only'!$N:$T, MATCH(TRUE, ISNUMBER(SEARCH($D15, 'AC and RGM only'!$L:$L)), 0), MATCH(TRUE, ISNUMBER(SEARCH(K$12, 'AC and RGM only'!$D$2:$J$2)), 0))</f>
        <v>0.47</v>
      </c>
    </row>
    <row r="16" spans="1:15" hidden="1" x14ac:dyDescent="0.25">
      <c r="B16" s="93">
        <v>15112</v>
      </c>
      <c r="D16" s="132" t="s">
        <v>214</v>
      </c>
      <c r="E16" s="130">
        <f t="array" ref="E16">INDEX('AC and RGM only'!$N:$T,
   SMALL(IF(ISNUMBER(SEARCH($D16, 'AC and RGM only'!$L:$L)), ROW('AC and RGM only'!$L:$L)), 2),
   MATCH(TRUE, ISNUMBER(SEARCH(E12, 'AC and RGM only'!$D$2:$J$2)), 0)
)</f>
        <v>0.67</v>
      </c>
      <c r="F16" s="130">
        <f t="array" ref="F16">INDEX('AC and RGM only'!$N:$T,
   SMALL(IF(ISNUMBER(SEARCH($D16, 'AC and RGM only'!$L:$L)), ROW('AC and RGM only'!$L:$L)), 2),
   MATCH(TRUE, ISNUMBER(SEARCH(F12, 'AC and RGM only'!$D$2:$J$2)), 0)
)</f>
        <v>0.91</v>
      </c>
      <c r="G16" s="130">
        <f t="array" ref="G16">INDEX('AC and RGM only'!$N:$T,
   SMALL(IF(ISNUMBER(SEARCH($D16, 'AC and RGM only'!$L:$L)), ROW('AC and RGM only'!$L:$L)), 2),
   MATCH(TRUE, ISNUMBER(SEARCH(G12, 'AC and RGM only'!$D$2:$J$2)), 0)
)</f>
        <v>0.86</v>
      </c>
      <c r="H16" s="130">
        <f t="array" ref="H16">INDEX('AC and RGM only'!$N:$T,
   SMALL(IF(ISNUMBER(SEARCH($D16, 'AC and RGM only'!$L:$L)), ROW('AC and RGM only'!$L:$L)), 2),
   MATCH(TRUE, ISNUMBER(SEARCH(H12, 'AC and RGM only'!$D$2:$J$2)), 0)
)</f>
        <v>1.17</v>
      </c>
      <c r="I16" s="130">
        <f t="array" ref="I16">INDEX('AC and RGM only'!$N:$T,
   SMALL(IF(ISNUMBER(SEARCH($D16, 'AC and RGM only'!$L:$L)), ROW('AC and RGM only'!$L:$L)), 2),
   MATCH(TRUE, ISNUMBER(SEARCH(I12, 'AC and RGM only'!$D$2:$J$2)), 0)
)</f>
        <v>1.76</v>
      </c>
      <c r="J16" s="130">
        <f t="array" ref="J16">INDEX('AC and RGM only'!$N:$T,
   SMALL(IF(ISNUMBER(SEARCH($D16, 'AC and RGM only'!$L:$L)), ROW('AC and RGM only'!$L:$L)), 2),
   MATCH(TRUE, ISNUMBER(SEARCH(J12, 'AC and RGM only'!$D$2:$J$2)), 0)
)</f>
        <v>1.48</v>
      </c>
      <c r="K16" s="130">
        <f t="array" ref="K16">INDEX('AC and RGM only'!$N:$T,
   SMALL(IF(ISNUMBER(SEARCH($D16, 'AC and RGM only'!$L:$L)), ROW('AC and RGM only'!$L:$L)), 2),
   MATCH(TRUE, ISNUMBER(SEARCH(K12, 'AC and RGM only'!$D$2:$J$2)), 0)
)</f>
        <v>1.56</v>
      </c>
    </row>
    <row r="18" spans="4:13" hidden="1" x14ac:dyDescent="0.25">
      <c r="G18" s="133" t="s">
        <v>215</v>
      </c>
      <c r="H18" s="134" t="str">
        <f ca="1">TEXT(TODAY(), "dddd")</f>
        <v>Thursday</v>
      </c>
    </row>
    <row r="20" spans="4:13" hidden="1" x14ac:dyDescent="0.25">
      <c r="D20" s="251" t="s">
        <v>6</v>
      </c>
      <c r="E20" s="252"/>
      <c r="G20" s="253" t="s">
        <v>8</v>
      </c>
      <c r="H20" s="252"/>
      <c r="J20" s="253" t="s">
        <v>11</v>
      </c>
      <c r="K20" s="252"/>
    </row>
    <row r="21" spans="4:13" hidden="1" x14ac:dyDescent="0.25">
      <c r="D21" s="100" t="s">
        <v>199</v>
      </c>
      <c r="E21" s="135">
        <f>ROUNDUP(SUM(E13:J13),0)+O6</f>
        <v>8</v>
      </c>
      <c r="G21" s="100" t="s">
        <v>199</v>
      </c>
      <c r="H21" s="135">
        <f>ROUNDUP(SUM(E13:K13),0)+O6</f>
        <v>9</v>
      </c>
      <c r="J21" s="100" t="s">
        <v>199</v>
      </c>
      <c r="K21" s="135">
        <f>ROUNDUP(SUM(E13:K13)-I13,0)+O6</f>
        <v>8</v>
      </c>
    </row>
    <row r="22" spans="4:13" hidden="1" x14ac:dyDescent="0.25">
      <c r="D22" s="100" t="s">
        <v>201</v>
      </c>
      <c r="E22" s="135">
        <f>SUM(E14:J14)</f>
        <v>1.44</v>
      </c>
      <c r="G22" s="100" t="s">
        <v>201</v>
      </c>
      <c r="H22" s="135">
        <f>SUM(E14:K14)</f>
        <v>1.8399999999999999</v>
      </c>
      <c r="J22" s="100" t="s">
        <v>201</v>
      </c>
      <c r="K22" s="135">
        <f>SUM(E14:K14)-I14</f>
        <v>1.4499999999999997</v>
      </c>
    </row>
    <row r="23" spans="4:13" hidden="1" x14ac:dyDescent="0.25">
      <c r="D23" s="100" t="s">
        <v>203</v>
      </c>
      <c r="E23" s="135">
        <f>SUM(E15:J15)</f>
        <v>1.7200000000000002</v>
      </c>
      <c r="G23" s="100" t="s">
        <v>203</v>
      </c>
      <c r="H23" s="135">
        <f>SUM(E15:K15)</f>
        <v>2.1900000000000004</v>
      </c>
      <c r="J23" s="100" t="s">
        <v>203</v>
      </c>
      <c r="K23" s="135">
        <f>SUM(E15:K15)-I15</f>
        <v>1.7300000000000004</v>
      </c>
    </row>
    <row r="24" spans="4:13" hidden="1" x14ac:dyDescent="0.25">
      <c r="D24" s="75" t="s">
        <v>216</v>
      </c>
      <c r="E24" s="135">
        <f t="shared" ref="E24" si="2">ROUNDUP(SUM(E16:J16),0)</f>
        <v>7</v>
      </c>
      <c r="G24" s="75" t="s">
        <v>216</v>
      </c>
      <c r="H24" s="135">
        <f t="shared" ref="H24" si="3">ROUNDUP(SUM(E16:K16),0)</f>
        <v>9</v>
      </c>
      <c r="J24" s="75" t="s">
        <v>216</v>
      </c>
      <c r="K24" s="135">
        <f t="shared" ref="K24" si="4">ROUNDUP(SUM(E16:K16)-I16,0)</f>
        <v>7</v>
      </c>
    </row>
    <row r="26" spans="4:13" ht="15.75" customHeight="1" x14ac:dyDescent="0.25">
      <c r="D26" s="246" t="s">
        <v>217</v>
      </c>
      <c r="E26" s="246"/>
      <c r="F26" s="128"/>
      <c r="G26" s="246" t="s">
        <v>218</v>
      </c>
      <c r="H26" s="246"/>
      <c r="I26" s="246" t="s">
        <v>219</v>
      </c>
      <c r="J26" s="246"/>
      <c r="K26" s="246"/>
      <c r="L26" s="136"/>
      <c r="M26" s="136"/>
    </row>
    <row r="27" spans="4:13" x14ac:dyDescent="0.25">
      <c r="D27" s="137" t="s">
        <v>199</v>
      </c>
      <c r="E27" s="138">
        <f>ROUNDUP(SUM(E13:K13),0)+O6</f>
        <v>9</v>
      </c>
      <c r="F27" s="128"/>
      <c r="G27" s="137" t="s">
        <v>199</v>
      </c>
      <c r="H27" s="138">
        <f>ROUNDUP(SUM(E13:K13),0)+O6</f>
        <v>9</v>
      </c>
      <c r="I27" s="137" t="s">
        <v>199</v>
      </c>
      <c r="J27" s="128"/>
      <c r="K27" s="138">
        <f>ROUNDUP(SUM(E13:I13)+K13,0)+O6</f>
        <v>8</v>
      </c>
    </row>
    <row r="28" spans="4:13" x14ac:dyDescent="0.25">
      <c r="D28" s="137" t="s">
        <v>201</v>
      </c>
      <c r="E28" s="138">
        <f>SUM(E14:K14)</f>
        <v>1.8399999999999999</v>
      </c>
      <c r="F28" s="128"/>
      <c r="G28" s="137" t="s">
        <v>201</v>
      </c>
      <c r="H28" s="138">
        <f>SUM(E14:K14)</f>
        <v>1.8399999999999999</v>
      </c>
      <c r="I28" s="137" t="s">
        <v>201</v>
      </c>
      <c r="J28" s="128"/>
      <c r="K28" s="138">
        <f>SUM(E14:I14)+K14</f>
        <v>1.5299999999999998</v>
      </c>
    </row>
    <row r="29" spans="4:13" x14ac:dyDescent="0.25">
      <c r="D29" s="137" t="s">
        <v>203</v>
      </c>
      <c r="E29" s="138">
        <f>SUM(E15:K15)</f>
        <v>2.1900000000000004</v>
      </c>
      <c r="F29" s="128"/>
      <c r="G29" s="137" t="s">
        <v>203</v>
      </c>
      <c r="H29" s="138">
        <f>SUM(E15:K15)</f>
        <v>2.1900000000000004</v>
      </c>
      <c r="I29" s="137" t="s">
        <v>203</v>
      </c>
      <c r="J29" s="128"/>
      <c r="K29" s="138">
        <f>SUM(E15:I15)+K15</f>
        <v>1.82</v>
      </c>
    </row>
    <row r="30" spans="4:13" x14ac:dyDescent="0.25">
      <c r="D30" s="139" t="s">
        <v>216</v>
      </c>
      <c r="E30" s="138">
        <f t="shared" ref="E30" si="5">ROUNDUP(SUM(E16:K16),0)</f>
        <v>9</v>
      </c>
      <c r="F30" s="128"/>
      <c r="G30" s="139" t="s">
        <v>216</v>
      </c>
      <c r="H30" s="138">
        <f t="shared" ref="H30" si="6">ROUNDUP(SUM(E16:K16),0)</f>
        <v>9</v>
      </c>
      <c r="I30" s="139" t="s">
        <v>216</v>
      </c>
      <c r="J30" s="128"/>
      <c r="K30" s="138">
        <f>ROUNDUP(SUM(E16:I16)+K16,0)</f>
        <v>7</v>
      </c>
    </row>
    <row r="31" spans="4:13" ht="15.75" customHeight="1" x14ac:dyDescent="0.25">
      <c r="G31" s="247" t="s">
        <v>220</v>
      </c>
      <c r="H31" s="247"/>
      <c r="I31" s="247"/>
    </row>
    <row r="32" spans="4:13" ht="26.25" customHeight="1" x14ac:dyDescent="0.25">
      <c r="G32" s="248" t="str">
        <f ca="1">H18</f>
        <v>Thursday</v>
      </c>
      <c r="H32" s="249"/>
      <c r="I32" s="250"/>
    </row>
    <row r="33" spans="7:9" x14ac:dyDescent="0.25">
      <c r="G33" s="244" t="s">
        <v>221</v>
      </c>
      <c r="H33" s="244"/>
      <c r="I33" s="244"/>
    </row>
    <row r="35" spans="7:9" x14ac:dyDescent="0.25">
      <c r="G35" s="245" t="s">
        <v>222</v>
      </c>
      <c r="H35" s="245"/>
      <c r="I35" s="245"/>
    </row>
    <row r="36" spans="7:9" x14ac:dyDescent="0.25">
      <c r="G36" s="245"/>
      <c r="H36" s="245"/>
      <c r="I36" s="245"/>
    </row>
    <row r="37" spans="7:9" hidden="1" x14ac:dyDescent="0.25">
      <c r="H37" s="2" t="s">
        <v>222</v>
      </c>
    </row>
    <row r="38" spans="7:9" hidden="1" x14ac:dyDescent="0.25">
      <c r="H38" s="2" t="s">
        <v>223</v>
      </c>
    </row>
  </sheetData>
  <mergeCells count="13">
    <mergeCell ref="E2:K3"/>
    <mergeCell ref="L2:M5"/>
    <mergeCell ref="B3:B5"/>
    <mergeCell ref="D20:E20"/>
    <mergeCell ref="G20:H20"/>
    <mergeCell ref="J20:K20"/>
    <mergeCell ref="G33:I33"/>
    <mergeCell ref="G35:I36"/>
    <mergeCell ref="D26:E26"/>
    <mergeCell ref="G26:H26"/>
    <mergeCell ref="I26:K26"/>
    <mergeCell ref="G31:I31"/>
    <mergeCell ref="G32:I32"/>
  </mergeCells>
  <conditionalFormatting sqref="A6:A9">
    <cfRule type="expression" dxfId="8" priority="23">
      <formula>AND($A6&lt;&gt;"",$E6&lt;&gt;"",SUMPRODUCT(--ISNUMBER(SEARCH(" "&amp;TRIM(MID(SUBSTITUTE(" "&amp;$E6&amp;" "," ",REPT(" ",100)),(ROW(INDIRECT("1:"&amp;(LEN($E6)-LEN(SUBSTITUTE($E6," ",""))+1))))*100,100))&amp;" "," "&amp;$A6&amp;" ")))&gt;=1)</formula>
    </cfRule>
    <cfRule type="expression" dxfId="7" priority="24">
      <formula>AND($A6&lt;&gt;"",$E6&lt;&gt;"",SUMPRODUCT(--ISNUMBER(SEARCH(" "&amp;TRIM(MID(SUBSTITUTE(" "&amp;$E6&amp;" "," ",REPT(" ",100)),(ROW(INDIRECT("1:"&amp;(LEN($E6)-LEN(SUBSTITUTE($E6," ",""))+1))))*100,100))&amp;" "," "&amp;$A6&amp;" ")))=0)</formula>
    </cfRule>
  </conditionalFormatting>
  <conditionalFormatting sqref="A13:A16">
    <cfRule type="expression" dxfId="6" priority="16">
      <formula>AND($A13&lt;&gt;"",$E13&lt;&gt;"",SUMPRODUCT(--ISNUMBER(SEARCH(" "&amp;TRIM(MID(SUBSTITUTE(" "&amp;$E13&amp;" "," ",REPT(" ",100)),(ROW(INDIRECT("1:"&amp;(LEN($E13)-LEN(SUBSTITUTE($E13," ",""))+1))))*100,100))&amp;" "," "&amp;$A13&amp;" ")))&gt;=1)</formula>
    </cfRule>
    <cfRule type="expression" dxfId="5" priority="17">
      <formula>AND($A13&lt;&gt;"",$E13&lt;&gt;"",SUMPRODUCT(--ISNUMBER(SEARCH(" "&amp;TRIM(MID(SUBSTITUTE(" "&amp;$E13&amp;" "," ",REPT(" ",100)),(ROW(INDIRECT("1:"&amp;(LEN($E13)-LEN(SUBSTITUTE($E13," ",""))+1))))*100,100))&amp;" "," "&amp;$A13&amp;" ")))=0)</formula>
    </cfRule>
  </conditionalFormatting>
  <conditionalFormatting sqref="F6:I9">
    <cfRule type="expression" dxfId="4" priority="1">
      <formula>AND($H6&lt;3,$I6+$G6&lt;$F6*5)</formula>
    </cfRule>
  </conditionalFormatting>
  <conditionalFormatting sqref="H6:H9">
    <cfRule type="expression" dxfId="3" priority="7">
      <formula>AND(ISNUMBER(H6), H6&lt;3)</formula>
    </cfRule>
  </conditionalFormatting>
  <conditionalFormatting sqref="J6:K8 K9">
    <cfRule type="expression" dxfId="2" priority="13">
      <formula>AND($H6&lt;5,$I6+$G6&lt;$F6*5)</formula>
    </cfRule>
  </conditionalFormatting>
  <conditionalFormatting sqref="K6:K9">
    <cfRule type="expression" dxfId="1" priority="12">
      <formula>K6&gt;0</formula>
    </cfRule>
    <cfRule type="cellIs" dxfId="0" priority="14" operator="equal">
      <formula>0</formula>
    </cfRule>
  </conditionalFormatting>
  <dataValidations count="3">
    <dataValidation showInputMessage="1" showErrorMessage="1" sqref="D10:F18 J21:J23 J6:K18 I27:I29 G6:G9 G31:G33 G27:G29 G21:G23 G11:K18 F2:K5 D27:D29 D21:D23 D2:E18" xr:uid="{00000000-0002-0000-0600-000000000000}"/>
    <dataValidation type="list" allowBlank="1" showInputMessage="1" showErrorMessage="1" sqref="G35:I36" xr:uid="{00000000-0002-0000-0600-000009000000}">
      <formula1>$H$37:$H$38</formula1>
    </dataValidation>
    <dataValidation type="list" allowBlank="1" showInputMessage="1" showErrorMessage="1" sqref="L2:M9" xr:uid="{00000000-0002-0000-0600-00000F000000}">
      <formula1>$H$19:$H$19</formula1>
    </dataValidation>
  </dataValidations>
  <pageMargins left="0.7" right="0.7" top="1.3149999999999999" bottom="0.75" header="0.3" footer="0.3"/>
  <pageSetup paperSize="9" scale="96" fitToHeight="0" orientation="landscape" useFirstPageNumber="1" horizontalDpi="4294967295" verticalDpi="4294967295" r:id="rId1"/>
  <headerFooter>
    <oddFooter>&amp;L_x000D_&amp;1#&amp;"Aptos"&amp;10&amp;K000000 Collins Foods - Internal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sheetPr>
  <dimension ref="A1:J166"/>
  <sheetViews>
    <sheetView showGridLines="0" zoomScaleNormal="100" workbookViewId="0">
      <selection activeCell="L15" sqref="L15"/>
    </sheetView>
  </sheetViews>
  <sheetFormatPr defaultColWidth="6.85546875" defaultRowHeight="15" x14ac:dyDescent="0.25"/>
  <cols>
    <col min="1" max="1" width="6.85546875" style="140" customWidth="1"/>
    <col min="2" max="2" width="10.42578125" style="140" customWidth="1"/>
    <col min="3" max="4" width="6.85546875" style="140" customWidth="1"/>
    <col min="5" max="5" width="7.28515625" style="140" customWidth="1"/>
    <col min="6" max="7" width="6.85546875" style="140" customWidth="1"/>
    <col min="8" max="8" width="9" style="140" customWidth="1"/>
    <col min="9" max="9" width="6.85546875" style="140" customWidth="1"/>
    <col min="10" max="10" width="9.42578125" style="140" customWidth="1"/>
    <col min="11" max="11" width="6.85546875" style="140" customWidth="1"/>
    <col min="12" max="16384" width="6.85546875" style="140"/>
  </cols>
  <sheetData>
    <row r="1" spans="1:10" x14ac:dyDescent="0.25">
      <c r="A1" s="141" t="s">
        <v>224</v>
      </c>
      <c r="B1" s="141" t="s">
        <v>225</v>
      </c>
      <c r="C1" s="141">
        <v>3811</v>
      </c>
      <c r="D1" s="141" t="s">
        <v>226</v>
      </c>
      <c r="E1" s="141">
        <v>100358</v>
      </c>
      <c r="F1" s="141" t="s">
        <v>227</v>
      </c>
      <c r="G1" s="141" t="s">
        <v>228</v>
      </c>
      <c r="H1" s="142">
        <v>0</v>
      </c>
      <c r="I1" s="143">
        <v>0</v>
      </c>
      <c r="J1" s="143">
        <v>0</v>
      </c>
    </row>
    <row r="2" spans="1:10" x14ac:dyDescent="0.25">
      <c r="A2" s="141" t="s">
        <v>224</v>
      </c>
      <c r="B2" s="141" t="s">
        <v>225</v>
      </c>
      <c r="C2" s="141">
        <v>3811</v>
      </c>
      <c r="D2" s="141" t="s">
        <v>226</v>
      </c>
      <c r="E2" s="141">
        <v>100399</v>
      </c>
      <c r="F2" s="141" t="s">
        <v>229</v>
      </c>
      <c r="G2" s="141" t="s">
        <v>228</v>
      </c>
      <c r="H2" s="142">
        <v>19</v>
      </c>
      <c r="I2" s="143">
        <v>1.35</v>
      </c>
      <c r="J2" s="143">
        <v>25.65</v>
      </c>
    </row>
    <row r="3" spans="1:10" x14ac:dyDescent="0.25">
      <c r="A3" s="141" t="s">
        <v>224</v>
      </c>
      <c r="B3" s="141" t="s">
        <v>225</v>
      </c>
      <c r="C3" s="141">
        <v>3811</v>
      </c>
      <c r="D3" s="141" t="s">
        <v>226</v>
      </c>
      <c r="E3" s="141">
        <v>100400</v>
      </c>
      <c r="F3" s="141" t="s">
        <v>230</v>
      </c>
      <c r="G3" s="141" t="s">
        <v>228</v>
      </c>
      <c r="H3" s="142">
        <v>24</v>
      </c>
      <c r="I3" s="143">
        <v>0.64</v>
      </c>
      <c r="J3" s="143">
        <v>15.36</v>
      </c>
    </row>
    <row r="4" spans="1:10" x14ac:dyDescent="0.25">
      <c r="A4" s="141" t="s">
        <v>224</v>
      </c>
      <c r="B4" s="141" t="s">
        <v>225</v>
      </c>
      <c r="C4" s="141">
        <v>3811</v>
      </c>
      <c r="D4" s="141" t="s">
        <v>226</v>
      </c>
      <c r="E4" s="141">
        <v>100401</v>
      </c>
      <c r="F4" s="141" t="s">
        <v>231</v>
      </c>
      <c r="G4" s="141" t="s">
        <v>228</v>
      </c>
      <c r="H4" s="142">
        <v>40</v>
      </c>
      <c r="I4" s="143">
        <v>0.64</v>
      </c>
      <c r="J4" s="143">
        <v>25.6</v>
      </c>
    </row>
    <row r="5" spans="1:10" x14ac:dyDescent="0.25">
      <c r="A5" s="141" t="s">
        <v>224</v>
      </c>
      <c r="B5" s="141" t="s">
        <v>225</v>
      </c>
      <c r="C5" s="141">
        <v>3811</v>
      </c>
      <c r="D5" s="141" t="s">
        <v>226</v>
      </c>
      <c r="E5" s="141">
        <v>100402</v>
      </c>
      <c r="F5" s="141" t="s">
        <v>232</v>
      </c>
      <c r="G5" s="141" t="s">
        <v>228</v>
      </c>
      <c r="H5" s="142">
        <v>20</v>
      </c>
      <c r="I5" s="143">
        <v>0.55000000000000004</v>
      </c>
      <c r="J5" s="143">
        <v>11.000000000000002</v>
      </c>
    </row>
    <row r="6" spans="1:10" x14ac:dyDescent="0.25">
      <c r="A6" s="141" t="s">
        <v>224</v>
      </c>
      <c r="B6" s="141" t="s">
        <v>225</v>
      </c>
      <c r="C6" s="141">
        <v>3811</v>
      </c>
      <c r="D6" s="141" t="s">
        <v>226</v>
      </c>
      <c r="E6" s="141">
        <v>100403</v>
      </c>
      <c r="F6" s="141" t="s">
        <v>233</v>
      </c>
      <c r="G6" s="141" t="s">
        <v>228</v>
      </c>
      <c r="H6" s="142">
        <v>20</v>
      </c>
      <c r="I6" s="143">
        <v>1.75</v>
      </c>
      <c r="J6" s="143">
        <v>35</v>
      </c>
    </row>
    <row r="7" spans="1:10" x14ac:dyDescent="0.25">
      <c r="A7" s="141" t="s">
        <v>224</v>
      </c>
      <c r="B7" s="141" t="s">
        <v>225</v>
      </c>
      <c r="C7" s="141">
        <v>3811</v>
      </c>
      <c r="D7" s="141" t="s">
        <v>226</v>
      </c>
      <c r="E7" s="141">
        <v>100404</v>
      </c>
      <c r="F7" s="141" t="s">
        <v>234</v>
      </c>
      <c r="G7" s="141" t="s">
        <v>228</v>
      </c>
      <c r="H7" s="142">
        <v>8</v>
      </c>
      <c r="I7" s="143">
        <v>1.75</v>
      </c>
      <c r="J7" s="143">
        <v>14</v>
      </c>
    </row>
    <row r="8" spans="1:10" x14ac:dyDescent="0.25">
      <c r="A8" s="141" t="s">
        <v>224</v>
      </c>
      <c r="B8" s="141" t="s">
        <v>225</v>
      </c>
      <c r="C8" s="141">
        <v>3811</v>
      </c>
      <c r="D8" s="141" t="s">
        <v>226</v>
      </c>
      <c r="E8" s="141">
        <v>100405</v>
      </c>
      <c r="F8" s="141" t="s">
        <v>235</v>
      </c>
      <c r="G8" s="141" t="s">
        <v>228</v>
      </c>
      <c r="H8" s="142">
        <v>11</v>
      </c>
      <c r="I8" s="143">
        <v>1.75</v>
      </c>
      <c r="J8" s="143">
        <v>19.25</v>
      </c>
    </row>
    <row r="9" spans="1:10" x14ac:dyDescent="0.25">
      <c r="A9" s="141" t="s">
        <v>224</v>
      </c>
      <c r="B9" s="141" t="s">
        <v>225</v>
      </c>
      <c r="C9" s="141">
        <v>3811</v>
      </c>
      <c r="D9" s="141" t="s">
        <v>226</v>
      </c>
      <c r="E9" s="141">
        <v>100457</v>
      </c>
      <c r="F9" s="141" t="s">
        <v>73</v>
      </c>
      <c r="G9" s="141" t="s">
        <v>236</v>
      </c>
      <c r="H9" s="142">
        <v>6.11</v>
      </c>
      <c r="I9" s="143">
        <v>7.42</v>
      </c>
      <c r="J9" s="143">
        <v>45.336199999999998</v>
      </c>
    </row>
    <row r="10" spans="1:10" x14ac:dyDescent="0.25">
      <c r="A10" s="141" t="s">
        <v>224</v>
      </c>
      <c r="B10" s="141" t="s">
        <v>225</v>
      </c>
      <c r="C10" s="141">
        <v>3811</v>
      </c>
      <c r="D10" s="141" t="s">
        <v>226</v>
      </c>
      <c r="E10" s="141">
        <v>106191</v>
      </c>
      <c r="F10" s="141" t="s">
        <v>237</v>
      </c>
      <c r="G10" s="141" t="s">
        <v>238</v>
      </c>
      <c r="H10" s="142">
        <v>7.95</v>
      </c>
      <c r="I10" s="143">
        <v>88.8</v>
      </c>
      <c r="J10" s="143">
        <v>705.96</v>
      </c>
    </row>
    <row r="11" spans="1:10" x14ac:dyDescent="0.25">
      <c r="A11" s="141" t="s">
        <v>224</v>
      </c>
      <c r="B11" s="141" t="s">
        <v>225</v>
      </c>
      <c r="C11" s="141">
        <v>3811</v>
      </c>
      <c r="D11" s="141" t="s">
        <v>226</v>
      </c>
      <c r="E11" s="141">
        <v>106431</v>
      </c>
      <c r="F11" s="141" t="s">
        <v>239</v>
      </c>
      <c r="G11" s="141" t="s">
        <v>228</v>
      </c>
      <c r="H11" s="142">
        <v>0</v>
      </c>
      <c r="I11" s="143">
        <v>0</v>
      </c>
      <c r="J11" s="143">
        <v>0</v>
      </c>
    </row>
    <row r="12" spans="1:10" x14ac:dyDescent="0.25">
      <c r="A12" s="141" t="s">
        <v>224</v>
      </c>
      <c r="B12" s="141" t="s">
        <v>225</v>
      </c>
      <c r="C12" s="141">
        <v>3811</v>
      </c>
      <c r="D12" s="141" t="s">
        <v>226</v>
      </c>
      <c r="E12" s="141">
        <v>106491</v>
      </c>
      <c r="F12" s="141" t="s">
        <v>240</v>
      </c>
      <c r="G12" s="141" t="s">
        <v>228</v>
      </c>
      <c r="H12" s="142">
        <v>0</v>
      </c>
      <c r="I12" s="143">
        <v>0</v>
      </c>
      <c r="J12" s="143">
        <v>0</v>
      </c>
    </row>
    <row r="13" spans="1:10" x14ac:dyDescent="0.25">
      <c r="A13" s="141" t="s">
        <v>224</v>
      </c>
      <c r="B13" s="141" t="s">
        <v>225</v>
      </c>
      <c r="C13" s="141">
        <v>3811</v>
      </c>
      <c r="D13" s="141" t="s">
        <v>226</v>
      </c>
      <c r="E13" s="141">
        <v>106551</v>
      </c>
      <c r="F13" s="141" t="s">
        <v>241</v>
      </c>
      <c r="G13" s="141" t="s">
        <v>228</v>
      </c>
      <c r="H13" s="142">
        <v>0</v>
      </c>
      <c r="I13" s="143">
        <v>0</v>
      </c>
      <c r="J13" s="143">
        <v>0</v>
      </c>
    </row>
    <row r="14" spans="1:10" x14ac:dyDescent="0.25">
      <c r="A14" s="141" t="s">
        <v>224</v>
      </c>
      <c r="B14" s="141" t="s">
        <v>225</v>
      </c>
      <c r="C14" s="141">
        <v>3811</v>
      </c>
      <c r="D14" s="141" t="s">
        <v>226</v>
      </c>
      <c r="E14" s="141">
        <v>11172</v>
      </c>
      <c r="F14" s="141" t="s">
        <v>99</v>
      </c>
      <c r="G14" s="141" t="s">
        <v>236</v>
      </c>
      <c r="H14" s="142">
        <v>3.63</v>
      </c>
      <c r="I14" s="143">
        <v>16.37</v>
      </c>
      <c r="J14" s="143">
        <v>59.423100000000005</v>
      </c>
    </row>
    <row r="15" spans="1:10" x14ac:dyDescent="0.25">
      <c r="A15" s="141" t="s">
        <v>224</v>
      </c>
      <c r="B15" s="141" t="s">
        <v>225</v>
      </c>
      <c r="C15" s="141">
        <v>3811</v>
      </c>
      <c r="D15" s="141" t="s">
        <v>226</v>
      </c>
      <c r="E15" s="141">
        <v>12128</v>
      </c>
      <c r="F15" s="141" t="s">
        <v>242</v>
      </c>
      <c r="G15" s="141" t="s">
        <v>228</v>
      </c>
      <c r="H15" s="142">
        <v>29</v>
      </c>
      <c r="I15" s="143">
        <v>0.57999999999999996</v>
      </c>
      <c r="J15" s="143">
        <v>16.819999999999997</v>
      </c>
    </row>
    <row r="16" spans="1:10" x14ac:dyDescent="0.25">
      <c r="A16" s="141" t="s">
        <v>224</v>
      </c>
      <c r="B16" s="141" t="s">
        <v>225</v>
      </c>
      <c r="C16" s="141">
        <v>3811</v>
      </c>
      <c r="D16" s="141" t="s">
        <v>226</v>
      </c>
      <c r="E16" s="141">
        <v>12150</v>
      </c>
      <c r="F16" s="141" t="s">
        <v>243</v>
      </c>
      <c r="G16" s="141" t="s">
        <v>228</v>
      </c>
      <c r="H16" s="142">
        <v>27</v>
      </c>
      <c r="I16" s="143">
        <v>0.52</v>
      </c>
      <c r="J16" s="143">
        <v>14.04</v>
      </c>
    </row>
    <row r="17" spans="1:10" x14ac:dyDescent="0.25">
      <c r="A17" s="141" t="s">
        <v>224</v>
      </c>
      <c r="B17" s="141" t="s">
        <v>225</v>
      </c>
      <c r="C17" s="141">
        <v>3811</v>
      </c>
      <c r="D17" s="141" t="s">
        <v>226</v>
      </c>
      <c r="E17" s="141">
        <v>12151</v>
      </c>
      <c r="F17" s="141" t="s">
        <v>244</v>
      </c>
      <c r="G17" s="141" t="s">
        <v>238</v>
      </c>
      <c r="H17" s="142">
        <v>60.81</v>
      </c>
      <c r="I17" s="143">
        <v>2.35</v>
      </c>
      <c r="J17" s="143">
        <v>142.90350000000001</v>
      </c>
    </row>
    <row r="18" spans="1:10" x14ac:dyDescent="0.25">
      <c r="A18" s="141" t="s">
        <v>224</v>
      </c>
      <c r="B18" s="141" t="s">
        <v>225</v>
      </c>
      <c r="C18" s="141">
        <v>3811</v>
      </c>
      <c r="D18" s="141" t="s">
        <v>226</v>
      </c>
      <c r="E18" s="141">
        <v>12153</v>
      </c>
      <c r="F18" s="141" t="s">
        <v>245</v>
      </c>
      <c r="G18" s="141" t="s">
        <v>238</v>
      </c>
      <c r="H18" s="142">
        <v>40.93</v>
      </c>
      <c r="I18" s="143">
        <v>2.35</v>
      </c>
      <c r="J18" s="143">
        <v>96.185500000000005</v>
      </c>
    </row>
    <row r="19" spans="1:10" x14ac:dyDescent="0.25">
      <c r="A19" s="141" t="s">
        <v>224</v>
      </c>
      <c r="B19" s="141" t="s">
        <v>225</v>
      </c>
      <c r="C19" s="141">
        <v>3811</v>
      </c>
      <c r="D19" s="141" t="s">
        <v>226</v>
      </c>
      <c r="E19" s="141">
        <v>12945</v>
      </c>
      <c r="F19" s="141" t="s">
        <v>246</v>
      </c>
      <c r="G19" s="141" t="s">
        <v>236</v>
      </c>
      <c r="H19" s="142">
        <v>41.68</v>
      </c>
      <c r="I19" s="143">
        <v>5.23</v>
      </c>
      <c r="J19" s="143">
        <v>217.9864</v>
      </c>
    </row>
    <row r="20" spans="1:10" x14ac:dyDescent="0.25">
      <c r="A20" s="141" t="s">
        <v>224</v>
      </c>
      <c r="B20" s="141" t="s">
        <v>225</v>
      </c>
      <c r="C20" s="141">
        <v>3811</v>
      </c>
      <c r="D20" s="141" t="s">
        <v>226</v>
      </c>
      <c r="E20" s="141">
        <v>13016</v>
      </c>
      <c r="F20" s="141" t="s">
        <v>247</v>
      </c>
      <c r="G20" s="141" t="s">
        <v>236</v>
      </c>
      <c r="H20" s="142">
        <v>27.4</v>
      </c>
      <c r="I20" s="143">
        <v>4.5199999999999996</v>
      </c>
      <c r="J20" s="143">
        <v>123.84799999999997</v>
      </c>
    </row>
    <row r="21" spans="1:10" x14ac:dyDescent="0.25">
      <c r="A21" s="141" t="s">
        <v>224</v>
      </c>
      <c r="B21" s="141" t="s">
        <v>225</v>
      </c>
      <c r="C21" s="141">
        <v>3811</v>
      </c>
      <c r="D21" s="141" t="s">
        <v>226</v>
      </c>
      <c r="E21" s="141">
        <v>13529</v>
      </c>
      <c r="F21" s="141" t="s">
        <v>128</v>
      </c>
      <c r="G21" s="141" t="s">
        <v>228</v>
      </c>
      <c r="H21" s="142">
        <v>-31.3</v>
      </c>
      <c r="I21" s="143">
        <v>0.18</v>
      </c>
      <c r="J21" s="143">
        <v>-5.6339999999999995</v>
      </c>
    </row>
    <row r="22" spans="1:10" x14ac:dyDescent="0.25">
      <c r="A22" s="141" t="s">
        <v>224</v>
      </c>
      <c r="B22" s="141" t="s">
        <v>225</v>
      </c>
      <c r="C22" s="141">
        <v>3811</v>
      </c>
      <c r="D22" s="141" t="s">
        <v>226</v>
      </c>
      <c r="E22" s="141">
        <v>13735</v>
      </c>
      <c r="F22" s="141" t="s">
        <v>103</v>
      </c>
      <c r="G22" s="141" t="s">
        <v>228</v>
      </c>
      <c r="H22" s="142">
        <v>2037</v>
      </c>
      <c r="I22" s="143">
        <v>0.02</v>
      </c>
      <c r="J22" s="143">
        <v>40.74</v>
      </c>
    </row>
    <row r="23" spans="1:10" x14ac:dyDescent="0.25">
      <c r="A23" s="141" t="s">
        <v>224</v>
      </c>
      <c r="B23" s="141" t="s">
        <v>225</v>
      </c>
      <c r="C23" s="141">
        <v>3811</v>
      </c>
      <c r="D23" s="141" t="s">
        <v>226</v>
      </c>
      <c r="E23" s="141">
        <v>13839</v>
      </c>
      <c r="F23" s="141" t="s">
        <v>248</v>
      </c>
      <c r="G23" s="141" t="s">
        <v>228</v>
      </c>
      <c r="H23" s="142">
        <v>45</v>
      </c>
      <c r="I23" s="143">
        <v>0.49</v>
      </c>
      <c r="J23" s="143">
        <v>22.05</v>
      </c>
    </row>
    <row r="24" spans="1:10" x14ac:dyDescent="0.25">
      <c r="A24" s="141" t="s">
        <v>224</v>
      </c>
      <c r="B24" s="141" t="s">
        <v>225</v>
      </c>
      <c r="C24" s="141">
        <v>3811</v>
      </c>
      <c r="D24" s="141" t="s">
        <v>226</v>
      </c>
      <c r="E24" s="141">
        <v>14601</v>
      </c>
      <c r="F24" s="141" t="s">
        <v>249</v>
      </c>
      <c r="G24" s="141" t="s">
        <v>228</v>
      </c>
      <c r="H24" s="142">
        <v>30</v>
      </c>
      <c r="I24" s="143">
        <v>0.52</v>
      </c>
      <c r="J24" s="143">
        <v>15.6</v>
      </c>
    </row>
    <row r="25" spans="1:10" x14ac:dyDescent="0.25">
      <c r="A25" s="141" t="s">
        <v>224</v>
      </c>
      <c r="B25" s="141" t="s">
        <v>225</v>
      </c>
      <c r="C25" s="141">
        <v>3811</v>
      </c>
      <c r="D25" s="141" t="s">
        <v>226</v>
      </c>
      <c r="E25" s="141">
        <v>14602</v>
      </c>
      <c r="F25" s="141" t="s">
        <v>250</v>
      </c>
      <c r="G25" s="141" t="s">
        <v>228</v>
      </c>
      <c r="H25" s="142">
        <v>20</v>
      </c>
      <c r="I25" s="143">
        <v>0.52</v>
      </c>
      <c r="J25" s="143">
        <v>10.4</v>
      </c>
    </row>
    <row r="26" spans="1:10" x14ac:dyDescent="0.25">
      <c r="A26" s="141" t="s">
        <v>224</v>
      </c>
      <c r="B26" s="141" t="s">
        <v>225</v>
      </c>
      <c r="C26" s="141">
        <v>3811</v>
      </c>
      <c r="D26" s="141" t="s">
        <v>226</v>
      </c>
      <c r="E26" s="141">
        <v>14603</v>
      </c>
      <c r="F26" s="141" t="s">
        <v>251</v>
      </c>
      <c r="G26" s="141" t="s">
        <v>228</v>
      </c>
      <c r="H26" s="142">
        <v>38</v>
      </c>
      <c r="I26" s="143">
        <v>0.52</v>
      </c>
      <c r="J26" s="143">
        <v>19.760000000000002</v>
      </c>
    </row>
    <row r="27" spans="1:10" x14ac:dyDescent="0.25">
      <c r="A27" s="141" t="s">
        <v>224</v>
      </c>
      <c r="B27" s="141" t="s">
        <v>225</v>
      </c>
      <c r="C27" s="141">
        <v>3811</v>
      </c>
      <c r="D27" s="141" t="s">
        <v>226</v>
      </c>
      <c r="E27" s="141">
        <v>14606</v>
      </c>
      <c r="F27" s="141" t="s">
        <v>252</v>
      </c>
      <c r="G27" s="141" t="s">
        <v>238</v>
      </c>
      <c r="H27" s="142">
        <v>46.96</v>
      </c>
      <c r="I27" s="143">
        <v>2.35</v>
      </c>
      <c r="J27" s="143">
        <v>110.35600000000001</v>
      </c>
    </row>
    <row r="28" spans="1:10" x14ac:dyDescent="0.25">
      <c r="A28" s="141" t="s">
        <v>224</v>
      </c>
      <c r="B28" s="141" t="s">
        <v>225</v>
      </c>
      <c r="C28" s="141">
        <v>3811</v>
      </c>
      <c r="D28" s="141" t="s">
        <v>226</v>
      </c>
      <c r="E28" s="141">
        <v>14648</v>
      </c>
      <c r="F28" s="141" t="s">
        <v>253</v>
      </c>
      <c r="G28" s="141" t="s">
        <v>228</v>
      </c>
      <c r="H28" s="142">
        <v>13</v>
      </c>
      <c r="I28" s="143">
        <v>0.46</v>
      </c>
      <c r="J28" s="143">
        <v>5.98</v>
      </c>
    </row>
    <row r="29" spans="1:10" x14ac:dyDescent="0.25">
      <c r="A29" s="141" t="s">
        <v>224</v>
      </c>
      <c r="B29" s="141" t="s">
        <v>225</v>
      </c>
      <c r="C29" s="141">
        <v>3811</v>
      </c>
      <c r="D29" s="141" t="s">
        <v>226</v>
      </c>
      <c r="E29" s="141">
        <v>14791</v>
      </c>
      <c r="F29" s="141" t="s">
        <v>144</v>
      </c>
      <c r="G29" s="141" t="s">
        <v>236</v>
      </c>
      <c r="H29" s="142">
        <v>16.27</v>
      </c>
      <c r="I29" s="143">
        <v>9.7899999999999991</v>
      </c>
      <c r="J29" s="143">
        <v>159.28329999999997</v>
      </c>
    </row>
    <row r="30" spans="1:10" x14ac:dyDescent="0.25">
      <c r="A30" s="141" t="s">
        <v>224</v>
      </c>
      <c r="B30" s="141" t="s">
        <v>225</v>
      </c>
      <c r="C30" s="141">
        <v>3811</v>
      </c>
      <c r="D30" s="141" t="s">
        <v>226</v>
      </c>
      <c r="E30" s="141">
        <v>15049</v>
      </c>
      <c r="F30" s="141" t="s">
        <v>254</v>
      </c>
      <c r="G30" s="141" t="s">
        <v>236</v>
      </c>
      <c r="H30" s="142">
        <v>275.73</v>
      </c>
      <c r="I30" s="143">
        <v>3.1</v>
      </c>
      <c r="J30" s="143">
        <v>854.76300000000003</v>
      </c>
    </row>
    <row r="31" spans="1:10" x14ac:dyDescent="0.25">
      <c r="A31" s="141" t="s">
        <v>224</v>
      </c>
      <c r="B31" s="141" t="s">
        <v>225</v>
      </c>
      <c r="C31" s="141">
        <v>3811</v>
      </c>
      <c r="D31" s="141" t="s">
        <v>226</v>
      </c>
      <c r="E31" s="141">
        <v>15112</v>
      </c>
      <c r="F31" s="141" t="s">
        <v>214</v>
      </c>
      <c r="G31" s="141" t="s">
        <v>236</v>
      </c>
      <c r="H31" s="142">
        <v>16.11</v>
      </c>
      <c r="I31" s="143">
        <v>10.18</v>
      </c>
      <c r="J31" s="143">
        <v>163.99979999999999</v>
      </c>
    </row>
    <row r="32" spans="1:10" x14ac:dyDescent="0.25">
      <c r="A32" s="141" t="s">
        <v>224</v>
      </c>
      <c r="B32" s="141" t="s">
        <v>225</v>
      </c>
      <c r="C32" s="141">
        <v>3811</v>
      </c>
      <c r="D32" s="141" t="s">
        <v>226</v>
      </c>
      <c r="E32" s="141">
        <v>15659</v>
      </c>
      <c r="F32" s="141" t="s">
        <v>255</v>
      </c>
      <c r="G32" s="141" t="s">
        <v>236</v>
      </c>
      <c r="H32" s="142">
        <v>0.31</v>
      </c>
      <c r="I32" s="143">
        <v>8.77</v>
      </c>
      <c r="J32" s="143">
        <v>2.7187000000000001</v>
      </c>
    </row>
    <row r="33" spans="1:10" x14ac:dyDescent="0.25">
      <c r="A33" s="141" t="s">
        <v>224</v>
      </c>
      <c r="B33" s="141" t="s">
        <v>225</v>
      </c>
      <c r="C33" s="141">
        <v>3811</v>
      </c>
      <c r="D33" s="141" t="s">
        <v>226</v>
      </c>
      <c r="E33" s="141">
        <v>15733</v>
      </c>
      <c r="F33" s="141" t="s">
        <v>256</v>
      </c>
      <c r="G33" s="141" t="s">
        <v>228</v>
      </c>
      <c r="H33" s="142">
        <v>11</v>
      </c>
      <c r="I33" s="143">
        <v>0.52</v>
      </c>
      <c r="J33" s="143">
        <v>5.72</v>
      </c>
    </row>
    <row r="34" spans="1:10" x14ac:dyDescent="0.25">
      <c r="A34" s="141" t="s">
        <v>224</v>
      </c>
      <c r="B34" s="141" t="s">
        <v>225</v>
      </c>
      <c r="C34" s="141">
        <v>3811</v>
      </c>
      <c r="D34" s="141" t="s">
        <v>226</v>
      </c>
      <c r="E34" s="141">
        <v>15735</v>
      </c>
      <c r="F34" s="141" t="s">
        <v>257</v>
      </c>
      <c r="G34" s="141" t="s">
        <v>228</v>
      </c>
      <c r="H34" s="142">
        <v>31</v>
      </c>
      <c r="I34" s="143">
        <v>0.52</v>
      </c>
      <c r="J34" s="143">
        <v>16.12</v>
      </c>
    </row>
    <row r="35" spans="1:10" x14ac:dyDescent="0.25">
      <c r="A35" s="141" t="s">
        <v>224</v>
      </c>
      <c r="B35" s="141" t="s">
        <v>225</v>
      </c>
      <c r="C35" s="141">
        <v>3811</v>
      </c>
      <c r="D35" s="141" t="s">
        <v>226</v>
      </c>
      <c r="E35" s="141">
        <v>16235</v>
      </c>
      <c r="F35" s="141" t="s">
        <v>258</v>
      </c>
      <c r="G35" s="141" t="s">
        <v>238</v>
      </c>
      <c r="H35" s="142">
        <v>47.04</v>
      </c>
      <c r="I35" s="143">
        <v>2.35</v>
      </c>
      <c r="J35" s="143">
        <v>110.544</v>
      </c>
    </row>
    <row r="36" spans="1:10" x14ac:dyDescent="0.25">
      <c r="A36" s="141" t="s">
        <v>224</v>
      </c>
      <c r="B36" s="141" t="s">
        <v>225</v>
      </c>
      <c r="C36" s="141">
        <v>3811</v>
      </c>
      <c r="D36" s="141" t="s">
        <v>226</v>
      </c>
      <c r="E36" s="141">
        <v>16520</v>
      </c>
      <c r="F36" s="141" t="s">
        <v>259</v>
      </c>
      <c r="G36" s="141" t="s">
        <v>228</v>
      </c>
      <c r="H36" s="142">
        <v>11</v>
      </c>
      <c r="I36" s="143">
        <v>0.57999999999999996</v>
      </c>
      <c r="J36" s="143">
        <v>6.379999999999999</v>
      </c>
    </row>
    <row r="37" spans="1:10" x14ac:dyDescent="0.25">
      <c r="A37" s="141" t="s">
        <v>224</v>
      </c>
      <c r="B37" s="141" t="s">
        <v>225</v>
      </c>
      <c r="C37" s="141">
        <v>3811</v>
      </c>
      <c r="D37" s="141" t="s">
        <v>226</v>
      </c>
      <c r="E37" s="141">
        <v>16521</v>
      </c>
      <c r="F37" s="141" t="s">
        <v>260</v>
      </c>
      <c r="G37" s="141" t="s">
        <v>228</v>
      </c>
      <c r="H37" s="142">
        <v>43</v>
      </c>
      <c r="I37" s="143">
        <v>0.57999999999999996</v>
      </c>
      <c r="J37" s="143">
        <v>24.939999999999994</v>
      </c>
    </row>
    <row r="38" spans="1:10" x14ac:dyDescent="0.25">
      <c r="A38" s="141" t="s">
        <v>224</v>
      </c>
      <c r="B38" s="141" t="s">
        <v>225</v>
      </c>
      <c r="C38" s="141">
        <v>3811</v>
      </c>
      <c r="D38" s="141" t="s">
        <v>226</v>
      </c>
      <c r="E38" s="141">
        <v>16522</v>
      </c>
      <c r="F38" s="141" t="s">
        <v>261</v>
      </c>
      <c r="G38" s="141" t="s">
        <v>228</v>
      </c>
      <c r="H38" s="142">
        <v>17</v>
      </c>
      <c r="I38" s="143">
        <v>0.57999999999999996</v>
      </c>
      <c r="J38" s="143">
        <v>9.86</v>
      </c>
    </row>
    <row r="39" spans="1:10" x14ac:dyDescent="0.25">
      <c r="A39" s="141" t="s">
        <v>224</v>
      </c>
      <c r="B39" s="141" t="s">
        <v>225</v>
      </c>
      <c r="C39" s="141">
        <v>3811</v>
      </c>
      <c r="D39" s="141" t="s">
        <v>226</v>
      </c>
      <c r="E39" s="141">
        <v>16523</v>
      </c>
      <c r="F39" s="141" t="s">
        <v>262</v>
      </c>
      <c r="G39" s="141" t="s">
        <v>228</v>
      </c>
      <c r="H39" s="142">
        <v>12</v>
      </c>
      <c r="I39" s="143">
        <v>0.57999999999999996</v>
      </c>
      <c r="J39" s="143">
        <v>6.9599999999999991</v>
      </c>
    </row>
    <row r="40" spans="1:10" x14ac:dyDescent="0.25">
      <c r="A40" s="141" t="s">
        <v>224</v>
      </c>
      <c r="B40" s="141" t="s">
        <v>225</v>
      </c>
      <c r="C40" s="141">
        <v>3811</v>
      </c>
      <c r="D40" s="141" t="s">
        <v>226</v>
      </c>
      <c r="E40" s="141">
        <v>16524</v>
      </c>
      <c r="F40" s="141" t="s">
        <v>263</v>
      </c>
      <c r="G40" s="141" t="s">
        <v>238</v>
      </c>
      <c r="H40" s="142">
        <v>44.88</v>
      </c>
      <c r="I40" s="143">
        <v>2.35</v>
      </c>
      <c r="J40" s="143">
        <v>105.46800000000002</v>
      </c>
    </row>
    <row r="41" spans="1:10" x14ac:dyDescent="0.25">
      <c r="A41" s="141" t="s">
        <v>224</v>
      </c>
      <c r="B41" s="141" t="s">
        <v>225</v>
      </c>
      <c r="C41" s="141">
        <v>3811</v>
      </c>
      <c r="D41" s="141" t="s">
        <v>226</v>
      </c>
      <c r="E41" s="141">
        <v>16525</v>
      </c>
      <c r="F41" s="141" t="s">
        <v>264</v>
      </c>
      <c r="G41" s="141" t="s">
        <v>238</v>
      </c>
      <c r="H41" s="142">
        <v>52.44</v>
      </c>
      <c r="I41" s="143">
        <v>2.35</v>
      </c>
      <c r="J41" s="143">
        <v>123.23399999999999</v>
      </c>
    </row>
    <row r="42" spans="1:10" x14ac:dyDescent="0.25">
      <c r="A42" s="141" t="s">
        <v>224</v>
      </c>
      <c r="B42" s="141" t="s">
        <v>225</v>
      </c>
      <c r="C42" s="141">
        <v>3811</v>
      </c>
      <c r="D42" s="141" t="s">
        <v>226</v>
      </c>
      <c r="E42" s="141">
        <v>17903</v>
      </c>
      <c r="F42" s="141" t="s">
        <v>265</v>
      </c>
      <c r="G42" s="141" t="s">
        <v>228</v>
      </c>
      <c r="H42" s="142">
        <v>0</v>
      </c>
      <c r="I42" s="143">
        <v>0</v>
      </c>
      <c r="J42" s="143">
        <v>0</v>
      </c>
    </row>
    <row r="43" spans="1:10" x14ac:dyDescent="0.25">
      <c r="A43" s="141" t="s">
        <v>224</v>
      </c>
      <c r="B43" s="141" t="s">
        <v>225</v>
      </c>
      <c r="C43" s="141">
        <v>3811</v>
      </c>
      <c r="D43" s="141" t="s">
        <v>226</v>
      </c>
      <c r="E43" s="141">
        <v>20295</v>
      </c>
      <c r="F43" s="141" t="s">
        <v>101</v>
      </c>
      <c r="G43" s="141" t="s">
        <v>236</v>
      </c>
      <c r="H43" s="142">
        <v>8.9499999999999993</v>
      </c>
      <c r="I43" s="143">
        <v>3.05</v>
      </c>
      <c r="J43" s="143">
        <v>27.297499999999996</v>
      </c>
    </row>
    <row r="44" spans="1:10" x14ac:dyDescent="0.25">
      <c r="A44" s="141" t="s">
        <v>224</v>
      </c>
      <c r="B44" s="141" t="s">
        <v>225</v>
      </c>
      <c r="C44" s="141">
        <v>3811</v>
      </c>
      <c r="D44" s="141" t="s">
        <v>226</v>
      </c>
      <c r="E44" s="141">
        <v>33312</v>
      </c>
      <c r="F44" s="141" t="s">
        <v>266</v>
      </c>
      <c r="G44" s="141" t="s">
        <v>236</v>
      </c>
      <c r="H44" s="142">
        <v>92.33</v>
      </c>
      <c r="I44" s="143">
        <v>2.63</v>
      </c>
      <c r="J44" s="143">
        <v>242.8279</v>
      </c>
    </row>
    <row r="45" spans="1:10" x14ac:dyDescent="0.25">
      <c r="A45" s="141" t="s">
        <v>224</v>
      </c>
      <c r="B45" s="141" t="s">
        <v>225</v>
      </c>
      <c r="C45" s="141">
        <v>3811</v>
      </c>
      <c r="D45" s="141" t="s">
        <v>226</v>
      </c>
      <c r="E45" s="141">
        <v>34210</v>
      </c>
      <c r="F45" s="141" t="s">
        <v>120</v>
      </c>
      <c r="G45" s="141" t="s">
        <v>236</v>
      </c>
      <c r="H45" s="142">
        <v>7.23</v>
      </c>
      <c r="I45" s="143">
        <v>7.38</v>
      </c>
      <c r="J45" s="143">
        <v>53.357399999999998</v>
      </c>
    </row>
    <row r="46" spans="1:10" x14ac:dyDescent="0.25">
      <c r="A46" s="141" t="s">
        <v>224</v>
      </c>
      <c r="B46" s="141" t="s">
        <v>225</v>
      </c>
      <c r="C46" s="141">
        <v>3811</v>
      </c>
      <c r="D46" s="141" t="s">
        <v>226</v>
      </c>
      <c r="E46" s="141">
        <v>36128</v>
      </c>
      <c r="F46" s="141" t="s">
        <v>267</v>
      </c>
      <c r="G46" s="141" t="s">
        <v>238</v>
      </c>
      <c r="H46" s="142">
        <v>8.75</v>
      </c>
      <c r="I46" s="143">
        <v>4.3</v>
      </c>
      <c r="J46" s="143">
        <v>37.625</v>
      </c>
    </row>
    <row r="47" spans="1:10" x14ac:dyDescent="0.25">
      <c r="A47" s="141" t="s">
        <v>224</v>
      </c>
      <c r="B47" s="141" t="s">
        <v>225</v>
      </c>
      <c r="C47" s="141">
        <v>3811</v>
      </c>
      <c r="D47" s="141" t="s">
        <v>226</v>
      </c>
      <c r="E47" s="141">
        <v>36224</v>
      </c>
      <c r="F47" s="141" t="s">
        <v>268</v>
      </c>
      <c r="G47" s="141" t="s">
        <v>238</v>
      </c>
      <c r="H47" s="142">
        <v>12.81</v>
      </c>
      <c r="I47" s="143">
        <v>4.3</v>
      </c>
      <c r="J47" s="143">
        <v>55.082999999999998</v>
      </c>
    </row>
    <row r="48" spans="1:10" x14ac:dyDescent="0.25">
      <c r="A48" s="141" t="s">
        <v>224</v>
      </c>
      <c r="B48" s="141" t="s">
        <v>225</v>
      </c>
      <c r="C48" s="141">
        <v>3811</v>
      </c>
      <c r="D48" s="141" t="s">
        <v>226</v>
      </c>
      <c r="E48" s="141">
        <v>36549</v>
      </c>
      <c r="F48" s="141" t="s">
        <v>107</v>
      </c>
      <c r="G48" s="141" t="s">
        <v>228</v>
      </c>
      <c r="H48" s="142">
        <v>1832</v>
      </c>
      <c r="I48" s="143">
        <v>0.01</v>
      </c>
      <c r="J48" s="143">
        <v>18.32</v>
      </c>
    </row>
    <row r="49" spans="1:10" x14ac:dyDescent="0.25">
      <c r="A49" s="141" t="s">
        <v>224</v>
      </c>
      <c r="B49" s="141" t="s">
        <v>225</v>
      </c>
      <c r="C49" s="141">
        <v>3811</v>
      </c>
      <c r="D49" s="141" t="s">
        <v>226</v>
      </c>
      <c r="E49" s="141">
        <v>37378</v>
      </c>
      <c r="F49" s="141" t="s">
        <v>93</v>
      </c>
      <c r="G49" s="141" t="s">
        <v>228</v>
      </c>
      <c r="H49" s="142">
        <v>112</v>
      </c>
      <c r="I49" s="143">
        <v>7.0000000000000007E-2</v>
      </c>
      <c r="J49" s="143">
        <v>7.8400000000000007</v>
      </c>
    </row>
    <row r="50" spans="1:10" x14ac:dyDescent="0.25">
      <c r="A50" s="141" t="s">
        <v>224</v>
      </c>
      <c r="B50" s="141" t="s">
        <v>225</v>
      </c>
      <c r="C50" s="141">
        <v>3811</v>
      </c>
      <c r="D50" s="141" t="s">
        <v>226</v>
      </c>
      <c r="E50" s="141">
        <v>37380</v>
      </c>
      <c r="F50" s="141" t="s">
        <v>105</v>
      </c>
      <c r="G50" s="141" t="s">
        <v>228</v>
      </c>
      <c r="H50" s="142">
        <v>1512</v>
      </c>
      <c r="I50" s="143">
        <v>0.02</v>
      </c>
      <c r="J50" s="143">
        <v>30.24</v>
      </c>
    </row>
    <row r="51" spans="1:10" x14ac:dyDescent="0.25">
      <c r="A51" s="141" t="s">
        <v>224</v>
      </c>
      <c r="B51" s="141" t="s">
        <v>225</v>
      </c>
      <c r="C51" s="141">
        <v>3811</v>
      </c>
      <c r="D51" s="141" t="s">
        <v>226</v>
      </c>
      <c r="E51" s="141">
        <v>37854</v>
      </c>
      <c r="F51" s="141" t="s">
        <v>97</v>
      </c>
      <c r="G51" s="141" t="s">
        <v>228</v>
      </c>
      <c r="H51" s="142">
        <v>614</v>
      </c>
      <c r="I51" s="143">
        <v>7.0000000000000007E-2</v>
      </c>
      <c r="J51" s="143">
        <v>42.980000000000011</v>
      </c>
    </row>
    <row r="52" spans="1:10" x14ac:dyDescent="0.25">
      <c r="A52" s="141" t="s">
        <v>224</v>
      </c>
      <c r="B52" s="141" t="s">
        <v>225</v>
      </c>
      <c r="C52" s="141">
        <v>3811</v>
      </c>
      <c r="D52" s="141" t="s">
        <v>226</v>
      </c>
      <c r="E52" s="141">
        <v>37856</v>
      </c>
      <c r="F52" s="141" t="s">
        <v>95</v>
      </c>
      <c r="G52" s="141" t="s">
        <v>228</v>
      </c>
      <c r="H52" s="142">
        <v>1023</v>
      </c>
      <c r="I52" s="143">
        <v>0.09</v>
      </c>
      <c r="J52" s="143">
        <v>92.07</v>
      </c>
    </row>
    <row r="53" spans="1:10" x14ac:dyDescent="0.25">
      <c r="A53" s="141" t="s">
        <v>224</v>
      </c>
      <c r="B53" s="141" t="s">
        <v>225</v>
      </c>
      <c r="C53" s="141">
        <v>3811</v>
      </c>
      <c r="D53" s="141" t="s">
        <v>226</v>
      </c>
      <c r="E53" s="141">
        <v>37862</v>
      </c>
      <c r="F53" s="141" t="s">
        <v>269</v>
      </c>
      <c r="G53" s="141" t="s">
        <v>236</v>
      </c>
      <c r="H53" s="142">
        <v>4.8</v>
      </c>
      <c r="I53" s="143">
        <v>5.31</v>
      </c>
      <c r="J53" s="143">
        <v>25.488000000000003</v>
      </c>
    </row>
    <row r="54" spans="1:10" x14ac:dyDescent="0.25">
      <c r="A54" s="141" t="s">
        <v>224</v>
      </c>
      <c r="B54" s="141" t="s">
        <v>225</v>
      </c>
      <c r="C54" s="141">
        <v>3811</v>
      </c>
      <c r="D54" s="141" t="s">
        <v>226</v>
      </c>
      <c r="E54" s="141">
        <v>37870</v>
      </c>
      <c r="F54" s="141" t="s">
        <v>112</v>
      </c>
      <c r="G54" s="141" t="s">
        <v>236</v>
      </c>
      <c r="H54" s="142">
        <v>13.49</v>
      </c>
      <c r="I54" s="143">
        <v>5.41</v>
      </c>
      <c r="J54" s="143">
        <v>72.980900000000005</v>
      </c>
    </row>
    <row r="55" spans="1:10" x14ac:dyDescent="0.25">
      <c r="A55" s="141" t="s">
        <v>224</v>
      </c>
      <c r="B55" s="141" t="s">
        <v>225</v>
      </c>
      <c r="C55" s="141">
        <v>3811</v>
      </c>
      <c r="D55" s="141" t="s">
        <v>226</v>
      </c>
      <c r="E55" s="141">
        <v>37872</v>
      </c>
      <c r="F55" s="141" t="s">
        <v>90</v>
      </c>
      <c r="G55" s="141" t="s">
        <v>228</v>
      </c>
      <c r="H55" s="142">
        <v>229</v>
      </c>
      <c r="I55" s="143">
        <v>0.18</v>
      </c>
      <c r="J55" s="143">
        <v>41.22</v>
      </c>
    </row>
    <row r="56" spans="1:10" x14ac:dyDescent="0.25">
      <c r="A56" s="141" t="s">
        <v>224</v>
      </c>
      <c r="B56" s="141" t="s">
        <v>225</v>
      </c>
      <c r="C56" s="141">
        <v>3811</v>
      </c>
      <c r="D56" s="141" t="s">
        <v>226</v>
      </c>
      <c r="E56" s="141">
        <v>37876</v>
      </c>
      <c r="F56" s="141" t="s">
        <v>270</v>
      </c>
      <c r="G56" s="141" t="s">
        <v>236</v>
      </c>
      <c r="H56" s="142">
        <v>9.42</v>
      </c>
      <c r="I56" s="143">
        <v>12.04</v>
      </c>
      <c r="J56" s="143">
        <v>113.41680000000001</v>
      </c>
    </row>
    <row r="57" spans="1:10" x14ac:dyDescent="0.25">
      <c r="A57" s="141" t="s">
        <v>224</v>
      </c>
      <c r="B57" s="141" t="s">
        <v>225</v>
      </c>
      <c r="C57" s="141">
        <v>3811</v>
      </c>
      <c r="D57" s="141" t="s">
        <v>226</v>
      </c>
      <c r="E57" s="141">
        <v>37883</v>
      </c>
      <c r="F57" s="141" t="s">
        <v>113</v>
      </c>
      <c r="G57" s="141" t="s">
        <v>238</v>
      </c>
      <c r="H57" s="142">
        <v>5.37</v>
      </c>
      <c r="I57" s="143">
        <v>8.5</v>
      </c>
      <c r="J57" s="143">
        <v>45.645000000000003</v>
      </c>
    </row>
    <row r="58" spans="1:10" x14ac:dyDescent="0.25">
      <c r="A58" s="141" t="s">
        <v>224</v>
      </c>
      <c r="B58" s="141" t="s">
        <v>225</v>
      </c>
      <c r="C58" s="141">
        <v>3811</v>
      </c>
      <c r="D58" s="141" t="s">
        <v>226</v>
      </c>
      <c r="E58" s="141">
        <v>37887</v>
      </c>
      <c r="F58" s="141" t="s">
        <v>17</v>
      </c>
      <c r="G58" s="141" t="s">
        <v>236</v>
      </c>
      <c r="H58" s="142">
        <v>16.68</v>
      </c>
      <c r="I58" s="143">
        <v>6.35</v>
      </c>
      <c r="J58" s="143">
        <v>105.91800000000001</v>
      </c>
    </row>
    <row r="59" spans="1:10" x14ac:dyDescent="0.25">
      <c r="A59" s="141" t="s">
        <v>224</v>
      </c>
      <c r="B59" s="141" t="s">
        <v>225</v>
      </c>
      <c r="C59" s="141">
        <v>3811</v>
      </c>
      <c r="D59" s="141" t="s">
        <v>226</v>
      </c>
      <c r="E59" s="141">
        <v>37891</v>
      </c>
      <c r="F59" s="141" t="s">
        <v>271</v>
      </c>
      <c r="G59" s="141" t="s">
        <v>228</v>
      </c>
      <c r="H59" s="142">
        <v>1387</v>
      </c>
      <c r="I59" s="143">
        <v>0.12</v>
      </c>
      <c r="J59" s="143">
        <v>166.44</v>
      </c>
    </row>
    <row r="60" spans="1:10" x14ac:dyDescent="0.25">
      <c r="A60" s="141" t="s">
        <v>224</v>
      </c>
      <c r="B60" s="141" t="s">
        <v>225</v>
      </c>
      <c r="C60" s="141">
        <v>3811</v>
      </c>
      <c r="D60" s="141" t="s">
        <v>226</v>
      </c>
      <c r="E60" s="141">
        <v>37893</v>
      </c>
      <c r="F60" s="141" t="s">
        <v>80</v>
      </c>
      <c r="G60" s="141" t="s">
        <v>228</v>
      </c>
      <c r="H60" s="142">
        <v>1001</v>
      </c>
      <c r="I60" s="143">
        <v>0.03</v>
      </c>
      <c r="J60" s="143">
        <v>30.03</v>
      </c>
    </row>
    <row r="61" spans="1:10" x14ac:dyDescent="0.25">
      <c r="A61" s="141" t="s">
        <v>224</v>
      </c>
      <c r="B61" s="141" t="s">
        <v>225</v>
      </c>
      <c r="C61" s="141">
        <v>3811</v>
      </c>
      <c r="D61" s="141" t="s">
        <v>226</v>
      </c>
      <c r="E61" s="141">
        <v>37895</v>
      </c>
      <c r="F61" s="141" t="s">
        <v>272</v>
      </c>
      <c r="G61" s="141" t="s">
        <v>228</v>
      </c>
      <c r="H61" s="142">
        <v>452</v>
      </c>
      <c r="I61" s="143">
        <v>0.37</v>
      </c>
      <c r="J61" s="143">
        <v>167.24</v>
      </c>
    </row>
    <row r="62" spans="1:10" x14ac:dyDescent="0.25">
      <c r="A62" s="141" t="s">
        <v>224</v>
      </c>
      <c r="B62" s="141" t="s">
        <v>225</v>
      </c>
      <c r="C62" s="141">
        <v>3811</v>
      </c>
      <c r="D62" s="141" t="s">
        <v>226</v>
      </c>
      <c r="E62" s="141">
        <v>37897</v>
      </c>
      <c r="F62" s="141" t="s">
        <v>273</v>
      </c>
      <c r="G62" s="141" t="s">
        <v>228</v>
      </c>
      <c r="H62" s="142">
        <v>230</v>
      </c>
      <c r="I62" s="143">
        <v>0.25</v>
      </c>
      <c r="J62" s="143">
        <v>57.5</v>
      </c>
    </row>
    <row r="63" spans="1:10" x14ac:dyDescent="0.25">
      <c r="A63" s="141" t="s">
        <v>224</v>
      </c>
      <c r="B63" s="141" t="s">
        <v>225</v>
      </c>
      <c r="C63" s="141">
        <v>3811</v>
      </c>
      <c r="D63" s="141" t="s">
        <v>226</v>
      </c>
      <c r="E63" s="141">
        <v>37901</v>
      </c>
      <c r="F63" s="141" t="s">
        <v>130</v>
      </c>
      <c r="G63" s="141" t="s">
        <v>228</v>
      </c>
      <c r="H63" s="142">
        <v>712</v>
      </c>
      <c r="I63" s="143">
        <v>0.04</v>
      </c>
      <c r="J63" s="143">
        <v>28.48</v>
      </c>
    </row>
    <row r="64" spans="1:10" x14ac:dyDescent="0.25">
      <c r="A64" s="141" t="s">
        <v>224</v>
      </c>
      <c r="B64" s="141" t="s">
        <v>225</v>
      </c>
      <c r="C64" s="141">
        <v>3811</v>
      </c>
      <c r="D64" s="141" t="s">
        <v>226</v>
      </c>
      <c r="E64" s="141">
        <v>37907</v>
      </c>
      <c r="F64" s="141" t="s">
        <v>116</v>
      </c>
      <c r="G64" s="141" t="s">
        <v>236</v>
      </c>
      <c r="H64" s="142">
        <v>11.23</v>
      </c>
      <c r="I64" s="143">
        <v>10.61</v>
      </c>
      <c r="J64" s="143">
        <v>119.1503</v>
      </c>
    </row>
    <row r="65" spans="1:10" x14ac:dyDescent="0.25">
      <c r="A65" s="141" t="s">
        <v>224</v>
      </c>
      <c r="B65" s="141" t="s">
        <v>225</v>
      </c>
      <c r="C65" s="141">
        <v>3811</v>
      </c>
      <c r="D65" s="141" t="s">
        <v>226</v>
      </c>
      <c r="E65" s="141">
        <v>37909</v>
      </c>
      <c r="F65" s="141" t="s">
        <v>274</v>
      </c>
      <c r="G65" s="141" t="s">
        <v>236</v>
      </c>
      <c r="H65" s="142">
        <v>19.420000000000002</v>
      </c>
      <c r="I65" s="143">
        <v>4.72</v>
      </c>
      <c r="J65" s="143">
        <v>91.662400000000019</v>
      </c>
    </row>
    <row r="66" spans="1:10" x14ac:dyDescent="0.25">
      <c r="A66" s="141" t="s">
        <v>224</v>
      </c>
      <c r="B66" s="141" t="s">
        <v>225</v>
      </c>
      <c r="C66" s="141">
        <v>3811</v>
      </c>
      <c r="D66" s="141" t="s">
        <v>226</v>
      </c>
      <c r="E66" s="141">
        <v>37911</v>
      </c>
      <c r="F66" s="141" t="s">
        <v>275</v>
      </c>
      <c r="G66" s="141" t="s">
        <v>236</v>
      </c>
      <c r="H66" s="142">
        <v>15.35</v>
      </c>
      <c r="I66" s="143">
        <v>10.29</v>
      </c>
      <c r="J66" s="143">
        <v>157.95150000000001</v>
      </c>
    </row>
    <row r="67" spans="1:10" x14ac:dyDescent="0.25">
      <c r="A67" s="141" t="s">
        <v>224</v>
      </c>
      <c r="B67" s="141" t="s">
        <v>225</v>
      </c>
      <c r="C67" s="141">
        <v>3811</v>
      </c>
      <c r="D67" s="141" t="s">
        <v>226</v>
      </c>
      <c r="E67" s="141">
        <v>37913</v>
      </c>
      <c r="F67" s="141" t="s">
        <v>276</v>
      </c>
      <c r="G67" s="141" t="s">
        <v>236</v>
      </c>
      <c r="H67" s="142">
        <v>2.74</v>
      </c>
      <c r="I67" s="143">
        <v>5.49</v>
      </c>
      <c r="J67" s="143">
        <v>15.0426</v>
      </c>
    </row>
    <row r="68" spans="1:10" x14ac:dyDescent="0.25">
      <c r="A68" s="141" t="s">
        <v>224</v>
      </c>
      <c r="B68" s="141" t="s">
        <v>225</v>
      </c>
      <c r="C68" s="141">
        <v>3811</v>
      </c>
      <c r="D68" s="141" t="s">
        <v>226</v>
      </c>
      <c r="E68" s="141">
        <v>37915</v>
      </c>
      <c r="F68" s="141" t="s">
        <v>109</v>
      </c>
      <c r="G68" s="141" t="s">
        <v>236</v>
      </c>
      <c r="H68" s="142">
        <v>11.67</v>
      </c>
      <c r="I68" s="143">
        <v>1.75</v>
      </c>
      <c r="J68" s="143">
        <v>20.422499999999999</v>
      </c>
    </row>
    <row r="69" spans="1:10" x14ac:dyDescent="0.25">
      <c r="A69" s="141" t="s">
        <v>224</v>
      </c>
      <c r="B69" s="141" t="s">
        <v>225</v>
      </c>
      <c r="C69" s="141">
        <v>3811</v>
      </c>
      <c r="D69" s="141" t="s">
        <v>226</v>
      </c>
      <c r="E69" s="141">
        <v>37921</v>
      </c>
      <c r="F69" s="141" t="s">
        <v>132</v>
      </c>
      <c r="G69" s="141" t="s">
        <v>228</v>
      </c>
      <c r="H69" s="142">
        <v>4013</v>
      </c>
      <c r="I69" s="143">
        <v>0.03</v>
      </c>
      <c r="J69" s="143">
        <v>120.39</v>
      </c>
    </row>
    <row r="70" spans="1:10" x14ac:dyDescent="0.25">
      <c r="A70" s="141" t="s">
        <v>224</v>
      </c>
      <c r="B70" s="141" t="s">
        <v>225</v>
      </c>
      <c r="C70" s="141">
        <v>3811</v>
      </c>
      <c r="D70" s="141" t="s">
        <v>226</v>
      </c>
      <c r="E70" s="141">
        <v>37923</v>
      </c>
      <c r="F70" s="141" t="s">
        <v>277</v>
      </c>
      <c r="G70" s="141" t="s">
        <v>228</v>
      </c>
      <c r="H70" s="142">
        <v>754</v>
      </c>
      <c r="I70" s="143">
        <v>0.27</v>
      </c>
      <c r="J70" s="143">
        <v>203.58</v>
      </c>
    </row>
    <row r="71" spans="1:10" x14ac:dyDescent="0.25">
      <c r="A71" s="141" t="s">
        <v>224</v>
      </c>
      <c r="B71" s="141" t="s">
        <v>225</v>
      </c>
      <c r="C71" s="141">
        <v>3811</v>
      </c>
      <c r="D71" s="141" t="s">
        <v>226</v>
      </c>
      <c r="E71" s="141">
        <v>37925</v>
      </c>
      <c r="F71" s="141" t="s">
        <v>278</v>
      </c>
      <c r="G71" s="141" t="s">
        <v>228</v>
      </c>
      <c r="H71" s="142">
        <v>480</v>
      </c>
      <c r="I71" s="143">
        <v>0.38</v>
      </c>
      <c r="J71" s="143">
        <v>182.4</v>
      </c>
    </row>
    <row r="72" spans="1:10" x14ac:dyDescent="0.25">
      <c r="A72" s="141" t="s">
        <v>224</v>
      </c>
      <c r="B72" s="141" t="s">
        <v>225</v>
      </c>
      <c r="C72" s="141">
        <v>3811</v>
      </c>
      <c r="D72" s="141" t="s">
        <v>226</v>
      </c>
      <c r="E72" s="141">
        <v>37927</v>
      </c>
      <c r="F72" s="141" t="s">
        <v>279</v>
      </c>
      <c r="G72" s="141" t="s">
        <v>228</v>
      </c>
      <c r="H72" s="142">
        <v>301</v>
      </c>
      <c r="I72" s="143">
        <v>0.14000000000000001</v>
      </c>
      <c r="J72" s="143">
        <v>42.140000000000008</v>
      </c>
    </row>
    <row r="73" spans="1:10" x14ac:dyDescent="0.25">
      <c r="A73" s="141" t="s">
        <v>224</v>
      </c>
      <c r="B73" s="141" t="s">
        <v>225</v>
      </c>
      <c r="C73" s="141">
        <v>3811</v>
      </c>
      <c r="D73" s="141" t="s">
        <v>226</v>
      </c>
      <c r="E73" s="141">
        <v>37987</v>
      </c>
      <c r="F73" s="141" t="s">
        <v>280</v>
      </c>
      <c r="G73" s="141" t="s">
        <v>228</v>
      </c>
      <c r="H73" s="142">
        <v>-1230.79</v>
      </c>
      <c r="I73" s="143">
        <v>0.05</v>
      </c>
      <c r="J73" s="143">
        <v>-61.539499999999997</v>
      </c>
    </row>
    <row r="74" spans="1:10" x14ac:dyDescent="0.25">
      <c r="A74" s="141" t="s">
        <v>224</v>
      </c>
      <c r="B74" s="141" t="s">
        <v>225</v>
      </c>
      <c r="C74" s="141">
        <v>3811</v>
      </c>
      <c r="D74" s="141" t="s">
        <v>226</v>
      </c>
      <c r="E74" s="141">
        <v>37989</v>
      </c>
      <c r="F74" s="141" t="s">
        <v>86</v>
      </c>
      <c r="G74" s="141" t="s">
        <v>228</v>
      </c>
      <c r="H74" s="142">
        <v>1750.85</v>
      </c>
      <c r="I74" s="143">
        <v>0.05</v>
      </c>
      <c r="J74" s="143">
        <v>87.542500000000004</v>
      </c>
    </row>
    <row r="75" spans="1:10" x14ac:dyDescent="0.25">
      <c r="A75" s="141" t="s">
        <v>224</v>
      </c>
      <c r="B75" s="141" t="s">
        <v>225</v>
      </c>
      <c r="C75" s="141">
        <v>3811</v>
      </c>
      <c r="D75" s="141" t="s">
        <v>226</v>
      </c>
      <c r="E75" s="141">
        <v>37991</v>
      </c>
      <c r="F75" s="141" t="s">
        <v>84</v>
      </c>
      <c r="G75" s="141" t="s">
        <v>228</v>
      </c>
      <c r="H75" s="142">
        <v>250.56</v>
      </c>
      <c r="I75" s="143">
        <v>0.16</v>
      </c>
      <c r="J75" s="143">
        <v>40.089599999999997</v>
      </c>
    </row>
    <row r="76" spans="1:10" x14ac:dyDescent="0.25">
      <c r="A76" s="141" t="s">
        <v>224</v>
      </c>
      <c r="B76" s="141" t="s">
        <v>225</v>
      </c>
      <c r="C76" s="141">
        <v>3811</v>
      </c>
      <c r="D76" s="141" t="s">
        <v>226</v>
      </c>
      <c r="E76" s="141">
        <v>37993</v>
      </c>
      <c r="F76" s="141" t="s">
        <v>77</v>
      </c>
      <c r="G76" s="141" t="s">
        <v>228</v>
      </c>
      <c r="H76" s="142">
        <v>959.5</v>
      </c>
      <c r="I76" s="143">
        <v>0.01</v>
      </c>
      <c r="J76" s="143">
        <v>9.5950000000000006</v>
      </c>
    </row>
    <row r="77" spans="1:10" x14ac:dyDescent="0.25">
      <c r="A77" s="141" t="s">
        <v>224</v>
      </c>
      <c r="B77" s="141" t="s">
        <v>225</v>
      </c>
      <c r="C77" s="141">
        <v>3811</v>
      </c>
      <c r="D77" s="141" t="s">
        <v>226</v>
      </c>
      <c r="E77" s="141">
        <v>37995</v>
      </c>
      <c r="F77" s="141" t="s">
        <v>74</v>
      </c>
      <c r="G77" s="141" t="s">
        <v>228</v>
      </c>
      <c r="H77" s="142">
        <v>2338</v>
      </c>
      <c r="I77" s="143">
        <v>0.01</v>
      </c>
      <c r="J77" s="143">
        <v>23.38</v>
      </c>
    </row>
    <row r="78" spans="1:10" x14ac:dyDescent="0.25">
      <c r="A78" s="141" t="s">
        <v>224</v>
      </c>
      <c r="B78" s="141" t="s">
        <v>225</v>
      </c>
      <c r="C78" s="141">
        <v>3811</v>
      </c>
      <c r="D78" s="141" t="s">
        <v>226</v>
      </c>
      <c r="E78" s="141">
        <v>37997</v>
      </c>
      <c r="F78" s="141" t="s">
        <v>82</v>
      </c>
      <c r="G78" s="141" t="s">
        <v>228</v>
      </c>
      <c r="H78" s="142">
        <v>1711</v>
      </c>
      <c r="I78" s="143">
        <v>0.03</v>
      </c>
      <c r="J78" s="143">
        <v>51.33</v>
      </c>
    </row>
    <row r="79" spans="1:10" x14ac:dyDescent="0.25">
      <c r="A79" s="141" t="s">
        <v>224</v>
      </c>
      <c r="B79" s="141" t="s">
        <v>225</v>
      </c>
      <c r="C79" s="141">
        <v>3811</v>
      </c>
      <c r="D79" s="141" t="s">
        <v>226</v>
      </c>
      <c r="E79" s="141">
        <v>37999</v>
      </c>
      <c r="F79" s="141" t="s">
        <v>134</v>
      </c>
      <c r="G79" s="141" t="s">
        <v>228</v>
      </c>
      <c r="H79" s="142">
        <v>7261</v>
      </c>
      <c r="I79" s="143">
        <v>0.01</v>
      </c>
      <c r="J79" s="143">
        <v>72.61</v>
      </c>
    </row>
    <row r="80" spans="1:10" x14ac:dyDescent="0.25">
      <c r="A80" s="141" t="s">
        <v>224</v>
      </c>
      <c r="B80" s="141" t="s">
        <v>225</v>
      </c>
      <c r="C80" s="141">
        <v>3811</v>
      </c>
      <c r="D80" s="141" t="s">
        <v>226</v>
      </c>
      <c r="E80" s="141">
        <v>38082</v>
      </c>
      <c r="F80" s="141" t="s">
        <v>281</v>
      </c>
      <c r="G80" s="141" t="s">
        <v>228</v>
      </c>
      <c r="H80" s="142">
        <v>9000</v>
      </c>
      <c r="I80" s="143">
        <v>0.01</v>
      </c>
      <c r="J80" s="143">
        <v>90</v>
      </c>
    </row>
    <row r="81" spans="1:10" x14ac:dyDescent="0.25">
      <c r="A81" s="141" t="s">
        <v>224</v>
      </c>
      <c r="B81" s="141" t="s">
        <v>225</v>
      </c>
      <c r="C81" s="141">
        <v>3811</v>
      </c>
      <c r="D81" s="141" t="s">
        <v>226</v>
      </c>
      <c r="E81" s="141">
        <v>38239</v>
      </c>
      <c r="F81" s="141" t="s">
        <v>282</v>
      </c>
      <c r="G81" s="141" t="s">
        <v>228</v>
      </c>
      <c r="H81" s="142">
        <v>15</v>
      </c>
      <c r="I81" s="143">
        <v>2.37</v>
      </c>
      <c r="J81" s="143">
        <v>35.549999999999997</v>
      </c>
    </row>
    <row r="82" spans="1:10" x14ac:dyDescent="0.25">
      <c r="A82" s="141" t="s">
        <v>224</v>
      </c>
      <c r="B82" s="141" t="s">
        <v>225</v>
      </c>
      <c r="C82" s="141">
        <v>3811</v>
      </c>
      <c r="D82" s="141" t="s">
        <v>226</v>
      </c>
      <c r="E82" s="141">
        <v>38352</v>
      </c>
      <c r="F82" s="141" t="s">
        <v>16</v>
      </c>
      <c r="G82" s="141" t="s">
        <v>236</v>
      </c>
      <c r="H82" s="142">
        <v>0.55000000000000004</v>
      </c>
      <c r="I82" s="143">
        <v>5</v>
      </c>
      <c r="J82" s="143">
        <v>2.7500000000000004</v>
      </c>
    </row>
    <row r="83" spans="1:10" x14ac:dyDescent="0.25">
      <c r="A83" s="141" t="s">
        <v>224</v>
      </c>
      <c r="B83" s="141" t="s">
        <v>225</v>
      </c>
      <c r="C83" s="141">
        <v>3811</v>
      </c>
      <c r="D83" s="141" t="s">
        <v>226</v>
      </c>
      <c r="E83" s="141">
        <v>38372</v>
      </c>
      <c r="F83" s="141" t="s">
        <v>283</v>
      </c>
      <c r="G83" s="141" t="s">
        <v>228</v>
      </c>
      <c r="H83" s="142">
        <v>0</v>
      </c>
      <c r="I83" s="143">
        <v>0</v>
      </c>
      <c r="J83" s="143">
        <v>0</v>
      </c>
    </row>
    <row r="84" spans="1:10" x14ac:dyDescent="0.25">
      <c r="A84" s="141" t="s">
        <v>224</v>
      </c>
      <c r="B84" s="141" t="s">
        <v>225</v>
      </c>
      <c r="C84" s="141">
        <v>3811</v>
      </c>
      <c r="D84" s="141" t="s">
        <v>226</v>
      </c>
      <c r="E84" s="141">
        <v>38375</v>
      </c>
      <c r="F84" s="141" t="s">
        <v>284</v>
      </c>
      <c r="G84" s="141" t="s">
        <v>228</v>
      </c>
      <c r="H84" s="142">
        <v>0</v>
      </c>
      <c r="I84" s="143">
        <v>0</v>
      </c>
      <c r="J84" s="143">
        <v>0</v>
      </c>
    </row>
    <row r="85" spans="1:10" x14ac:dyDescent="0.25">
      <c r="A85" s="141" t="s">
        <v>224</v>
      </c>
      <c r="B85" s="141" t="s">
        <v>225</v>
      </c>
      <c r="C85" s="141">
        <v>3811</v>
      </c>
      <c r="D85" s="141" t="s">
        <v>226</v>
      </c>
      <c r="E85" s="141">
        <v>38414</v>
      </c>
      <c r="F85" s="141" t="s">
        <v>285</v>
      </c>
      <c r="G85" s="141" t="s">
        <v>236</v>
      </c>
      <c r="H85" s="142">
        <v>17.170000000000002</v>
      </c>
      <c r="I85" s="143">
        <v>6.86</v>
      </c>
      <c r="J85" s="143">
        <v>117.78620000000002</v>
      </c>
    </row>
    <row r="86" spans="1:10" x14ac:dyDescent="0.25">
      <c r="A86" s="141" t="s">
        <v>224</v>
      </c>
      <c r="B86" s="141" t="s">
        <v>225</v>
      </c>
      <c r="C86" s="141">
        <v>3811</v>
      </c>
      <c r="D86" s="141" t="s">
        <v>226</v>
      </c>
      <c r="E86" s="141">
        <v>38493</v>
      </c>
      <c r="F86" s="141" t="s">
        <v>286</v>
      </c>
      <c r="G86" s="141" t="s">
        <v>236</v>
      </c>
      <c r="H86" s="142">
        <v>8.07</v>
      </c>
      <c r="I86" s="143">
        <v>7.23</v>
      </c>
      <c r="J86" s="143">
        <v>58.3461</v>
      </c>
    </row>
    <row r="87" spans="1:10" x14ac:dyDescent="0.25">
      <c r="A87" s="141" t="s">
        <v>224</v>
      </c>
      <c r="B87" s="141" t="s">
        <v>225</v>
      </c>
      <c r="C87" s="141">
        <v>3811</v>
      </c>
      <c r="D87" s="141" t="s">
        <v>226</v>
      </c>
      <c r="E87" s="141">
        <v>38531</v>
      </c>
      <c r="F87" s="141" t="s">
        <v>287</v>
      </c>
      <c r="G87" s="141" t="s">
        <v>238</v>
      </c>
      <c r="H87" s="142">
        <v>20.12</v>
      </c>
      <c r="I87" s="143">
        <v>4.3</v>
      </c>
      <c r="J87" s="143">
        <v>86.516000000000005</v>
      </c>
    </row>
    <row r="88" spans="1:10" x14ac:dyDescent="0.25">
      <c r="A88" s="141" t="s">
        <v>224</v>
      </c>
      <c r="B88" s="141" t="s">
        <v>225</v>
      </c>
      <c r="C88" s="141">
        <v>3811</v>
      </c>
      <c r="D88" s="141" t="s">
        <v>226</v>
      </c>
      <c r="E88" s="141">
        <v>38670</v>
      </c>
      <c r="F88" s="141" t="s">
        <v>288</v>
      </c>
      <c r="G88" s="141" t="s">
        <v>236</v>
      </c>
      <c r="H88" s="142">
        <v>0.47</v>
      </c>
      <c r="I88" s="143">
        <v>78.34</v>
      </c>
      <c r="J88" s="143">
        <v>36.819800000000001</v>
      </c>
    </row>
    <row r="89" spans="1:10" x14ac:dyDescent="0.25">
      <c r="A89" s="141" t="s">
        <v>224</v>
      </c>
      <c r="B89" s="141" t="s">
        <v>225</v>
      </c>
      <c r="C89" s="141">
        <v>3811</v>
      </c>
      <c r="D89" s="141" t="s">
        <v>226</v>
      </c>
      <c r="E89" s="141">
        <v>38701</v>
      </c>
      <c r="F89" s="141" t="s">
        <v>45</v>
      </c>
      <c r="G89" s="141" t="s">
        <v>236</v>
      </c>
      <c r="H89" s="142">
        <v>9.01</v>
      </c>
      <c r="I89" s="143">
        <v>6.67</v>
      </c>
      <c r="J89" s="143">
        <v>60.096699999999998</v>
      </c>
    </row>
    <row r="90" spans="1:10" x14ac:dyDescent="0.25">
      <c r="A90" s="141" t="s">
        <v>224</v>
      </c>
      <c r="B90" s="141" t="s">
        <v>225</v>
      </c>
      <c r="C90" s="141">
        <v>3811</v>
      </c>
      <c r="D90" s="141" t="s">
        <v>226</v>
      </c>
      <c r="E90" s="141">
        <v>38704</v>
      </c>
      <c r="F90" s="141" t="s">
        <v>289</v>
      </c>
      <c r="G90" s="141" t="s">
        <v>228</v>
      </c>
      <c r="H90" s="142">
        <v>16</v>
      </c>
      <c r="I90" s="143">
        <v>1.1000000000000001</v>
      </c>
      <c r="J90" s="143">
        <v>17.600000000000001</v>
      </c>
    </row>
    <row r="91" spans="1:10" x14ac:dyDescent="0.25">
      <c r="A91" s="141" t="s">
        <v>224</v>
      </c>
      <c r="B91" s="141" t="s">
        <v>225</v>
      </c>
      <c r="C91" s="141">
        <v>3811</v>
      </c>
      <c r="D91" s="141" t="s">
        <v>226</v>
      </c>
      <c r="E91" s="141">
        <v>38705</v>
      </c>
      <c r="F91" s="141" t="s">
        <v>290</v>
      </c>
      <c r="G91" s="141" t="s">
        <v>228</v>
      </c>
      <c r="H91" s="142">
        <v>9</v>
      </c>
      <c r="I91" s="143">
        <v>1.1000000000000001</v>
      </c>
      <c r="J91" s="143">
        <v>9.9</v>
      </c>
    </row>
    <row r="92" spans="1:10" x14ac:dyDescent="0.25">
      <c r="A92" s="141" t="s">
        <v>224</v>
      </c>
      <c r="B92" s="141" t="s">
        <v>225</v>
      </c>
      <c r="C92" s="141">
        <v>3811</v>
      </c>
      <c r="D92" s="141" t="s">
        <v>226</v>
      </c>
      <c r="E92" s="141">
        <v>38722</v>
      </c>
      <c r="F92" s="141" t="s">
        <v>291</v>
      </c>
      <c r="G92" s="141" t="s">
        <v>236</v>
      </c>
      <c r="H92" s="142">
        <v>7.26</v>
      </c>
      <c r="I92" s="143">
        <v>6.31</v>
      </c>
      <c r="J92" s="143">
        <v>45.810600000000001</v>
      </c>
    </row>
    <row r="93" spans="1:10" x14ac:dyDescent="0.25">
      <c r="A93" s="141" t="s">
        <v>224</v>
      </c>
      <c r="B93" s="141" t="s">
        <v>225</v>
      </c>
      <c r="C93" s="141">
        <v>3811</v>
      </c>
      <c r="D93" s="141" t="s">
        <v>226</v>
      </c>
      <c r="E93" s="141">
        <v>38769</v>
      </c>
      <c r="F93" s="141" t="s">
        <v>292</v>
      </c>
      <c r="G93" s="141" t="s">
        <v>228</v>
      </c>
      <c r="H93" s="142">
        <v>0</v>
      </c>
      <c r="I93" s="143">
        <v>0</v>
      </c>
      <c r="J93" s="143">
        <v>0</v>
      </c>
    </row>
    <row r="94" spans="1:10" x14ac:dyDescent="0.25">
      <c r="A94" s="141" t="s">
        <v>224</v>
      </c>
      <c r="B94" s="141" t="s">
        <v>225</v>
      </c>
      <c r="C94" s="141">
        <v>3811</v>
      </c>
      <c r="D94" s="141" t="s">
        <v>226</v>
      </c>
      <c r="E94" s="141">
        <v>38892</v>
      </c>
      <c r="F94" s="141" t="s">
        <v>88</v>
      </c>
      <c r="G94" s="141" t="s">
        <v>228</v>
      </c>
      <c r="H94" s="142">
        <v>198</v>
      </c>
      <c r="I94" s="143">
        <v>0.22</v>
      </c>
      <c r="J94" s="143">
        <v>43.56</v>
      </c>
    </row>
    <row r="95" spans="1:10" x14ac:dyDescent="0.25">
      <c r="A95" s="141" t="s">
        <v>224</v>
      </c>
      <c r="B95" s="141" t="s">
        <v>225</v>
      </c>
      <c r="C95" s="141">
        <v>3811</v>
      </c>
      <c r="D95" s="141" t="s">
        <v>226</v>
      </c>
      <c r="E95" s="141">
        <v>39139</v>
      </c>
      <c r="F95" s="141" t="s">
        <v>293</v>
      </c>
      <c r="G95" s="141" t="s">
        <v>236</v>
      </c>
      <c r="H95" s="142">
        <v>22.98</v>
      </c>
      <c r="I95" s="143">
        <v>13.51</v>
      </c>
      <c r="J95" s="143">
        <v>310.45979999999997</v>
      </c>
    </row>
    <row r="96" spans="1:10" x14ac:dyDescent="0.25">
      <c r="A96" s="141" t="s">
        <v>224</v>
      </c>
      <c r="B96" s="141" t="s">
        <v>225</v>
      </c>
      <c r="C96" s="141">
        <v>3811</v>
      </c>
      <c r="D96" s="141" t="s">
        <v>226</v>
      </c>
      <c r="E96" s="141">
        <v>39185</v>
      </c>
      <c r="F96" s="141" t="s">
        <v>118</v>
      </c>
      <c r="G96" s="141" t="s">
        <v>228</v>
      </c>
      <c r="H96" s="142">
        <v>4324</v>
      </c>
      <c r="I96" s="143">
        <v>0.01</v>
      </c>
      <c r="J96" s="143">
        <v>43.24</v>
      </c>
    </row>
    <row r="97" spans="1:10" x14ac:dyDescent="0.25">
      <c r="A97" s="141" t="s">
        <v>224</v>
      </c>
      <c r="B97" s="141" t="s">
        <v>225</v>
      </c>
      <c r="C97" s="141">
        <v>3811</v>
      </c>
      <c r="D97" s="141" t="s">
        <v>226</v>
      </c>
      <c r="E97" s="141">
        <v>39520</v>
      </c>
      <c r="F97" s="141" t="s">
        <v>294</v>
      </c>
      <c r="G97" s="141" t="s">
        <v>236</v>
      </c>
      <c r="H97" s="142">
        <v>116.31</v>
      </c>
      <c r="I97" s="143">
        <v>11.7</v>
      </c>
      <c r="J97" s="143">
        <v>1360.8270000000002</v>
      </c>
    </row>
    <row r="98" spans="1:10" x14ac:dyDescent="0.25">
      <c r="A98" s="141" t="s">
        <v>224</v>
      </c>
      <c r="B98" s="141" t="s">
        <v>225</v>
      </c>
      <c r="C98" s="141">
        <v>3811</v>
      </c>
      <c r="D98" s="141" t="s">
        <v>226</v>
      </c>
      <c r="E98" s="141">
        <v>39744</v>
      </c>
      <c r="F98" s="141" t="s">
        <v>122</v>
      </c>
      <c r="G98" s="141" t="s">
        <v>228</v>
      </c>
      <c r="H98" s="142">
        <v>870</v>
      </c>
      <c r="I98" s="143">
        <v>0.05</v>
      </c>
      <c r="J98" s="143">
        <v>43.5</v>
      </c>
    </row>
    <row r="99" spans="1:10" x14ac:dyDescent="0.25">
      <c r="A99" s="141" t="s">
        <v>224</v>
      </c>
      <c r="B99" s="141" t="s">
        <v>225</v>
      </c>
      <c r="C99" s="141">
        <v>3811</v>
      </c>
      <c r="D99" s="141" t="s">
        <v>226</v>
      </c>
      <c r="E99" s="141">
        <v>39746</v>
      </c>
      <c r="F99" s="141" t="s">
        <v>124</v>
      </c>
      <c r="G99" s="141" t="s">
        <v>228</v>
      </c>
      <c r="H99" s="142">
        <v>1400</v>
      </c>
      <c r="I99" s="143">
        <v>0.03</v>
      </c>
      <c r="J99" s="143">
        <v>42</v>
      </c>
    </row>
    <row r="100" spans="1:10" x14ac:dyDescent="0.25">
      <c r="A100" s="141" t="s">
        <v>224</v>
      </c>
      <c r="B100" s="141" t="s">
        <v>225</v>
      </c>
      <c r="C100" s="141">
        <v>3811</v>
      </c>
      <c r="D100" s="141" t="s">
        <v>226</v>
      </c>
      <c r="E100" s="141">
        <v>39769</v>
      </c>
      <c r="F100" s="141" t="s">
        <v>126</v>
      </c>
      <c r="G100" s="141" t="s">
        <v>228</v>
      </c>
      <c r="H100" s="142">
        <v>319</v>
      </c>
      <c r="I100" s="143">
        <v>0.03</v>
      </c>
      <c r="J100" s="143">
        <v>9.57</v>
      </c>
    </row>
    <row r="101" spans="1:10" x14ac:dyDescent="0.25">
      <c r="A101" s="141" t="s">
        <v>224</v>
      </c>
      <c r="B101" s="141" t="s">
        <v>225</v>
      </c>
      <c r="C101" s="141">
        <v>3811</v>
      </c>
      <c r="D101" s="141" t="s">
        <v>226</v>
      </c>
      <c r="E101" s="141">
        <v>40303</v>
      </c>
      <c r="F101" s="141" t="s">
        <v>295</v>
      </c>
      <c r="G101" s="141" t="s">
        <v>228</v>
      </c>
      <c r="H101" s="142">
        <v>278</v>
      </c>
      <c r="I101" s="143">
        <v>0.75</v>
      </c>
      <c r="J101" s="143">
        <v>208.5</v>
      </c>
    </row>
    <row r="102" spans="1:10" x14ac:dyDescent="0.25">
      <c r="A102" s="141" t="s">
        <v>296</v>
      </c>
      <c r="B102" s="143">
        <v>8638.1840999999986</v>
      </c>
      <c r="C102" s="141"/>
      <c r="D102" s="141"/>
      <c r="E102" s="141"/>
      <c r="F102" s="141"/>
      <c r="G102" s="141"/>
      <c r="H102" s="141"/>
      <c r="I102" s="141"/>
      <c r="J102" s="141"/>
    </row>
    <row r="103" spans="1:10" x14ac:dyDescent="0.25">
      <c r="A103" s="141" t="s">
        <v>297</v>
      </c>
      <c r="B103" s="141"/>
      <c r="C103" s="141"/>
      <c r="D103" s="141"/>
      <c r="E103" s="141"/>
      <c r="F103" s="141"/>
      <c r="G103" s="141"/>
      <c r="H103" s="141"/>
      <c r="I103" s="141"/>
      <c r="J103" s="141"/>
    </row>
    <row r="104" spans="1:10" ht="12.75" customHeight="1" x14ac:dyDescent="0.25"/>
    <row r="105" spans="1:10" ht="12.75" customHeight="1" x14ac:dyDescent="0.25"/>
    <row r="106" spans="1:10" ht="12.75" customHeight="1" x14ac:dyDescent="0.25"/>
    <row r="107" spans="1:10" ht="12.75" customHeight="1" x14ac:dyDescent="0.25"/>
    <row r="108" spans="1:10" ht="12.75" customHeight="1" x14ac:dyDescent="0.25"/>
    <row r="109" spans="1:10" ht="12.75" customHeight="1" x14ac:dyDescent="0.25"/>
    <row r="110" spans="1:10" ht="12.75" customHeight="1" x14ac:dyDescent="0.25"/>
    <row r="111" spans="1:10" ht="12.75" customHeight="1" x14ac:dyDescent="0.25"/>
    <row r="112" spans="1:10"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sheetPr>
  <dimension ref="A1:O72"/>
  <sheetViews>
    <sheetView showGridLines="0" zoomScaleNormal="100" workbookViewId="0">
      <selection activeCell="H21" sqref="H21"/>
    </sheetView>
  </sheetViews>
  <sheetFormatPr defaultColWidth="6.85546875" defaultRowHeight="15" x14ac:dyDescent="0.25"/>
  <cols>
    <col min="1" max="1" width="12.42578125" style="140" customWidth="1"/>
    <col min="2" max="2" width="11.7109375" style="140" customWidth="1"/>
    <col min="3" max="3" width="5.28515625" style="140" customWidth="1"/>
    <col min="4" max="4" width="18.28515625" style="140" customWidth="1"/>
    <col min="5" max="5" width="16.7109375" style="140" customWidth="1"/>
    <col min="6" max="6" width="29" style="140" customWidth="1"/>
    <col min="7" max="7" width="7.28515625" style="140" customWidth="1"/>
    <col min="8" max="8" width="9.42578125" style="144" customWidth="1"/>
    <col min="9" max="9" width="52" style="140" customWidth="1"/>
    <col min="10" max="10" width="19.28515625" style="140" customWidth="1"/>
    <col min="11" max="11" width="7.85546875" style="140" customWidth="1"/>
    <col min="12" max="12" width="5.5703125" style="140" customWidth="1"/>
    <col min="13" max="13" width="6.85546875" style="140" customWidth="1"/>
    <col min="14" max="16384" width="6.85546875" style="140"/>
  </cols>
  <sheetData>
    <row r="1" spans="1:15" x14ac:dyDescent="0.25">
      <c r="A1" s="141" t="s">
        <v>224</v>
      </c>
      <c r="B1" s="141" t="s">
        <v>225</v>
      </c>
      <c r="C1" s="141">
        <v>3811</v>
      </c>
      <c r="D1" s="141" t="s">
        <v>226</v>
      </c>
      <c r="E1" s="141" t="s">
        <v>298</v>
      </c>
      <c r="F1" s="145">
        <v>1619182</v>
      </c>
      <c r="G1" s="146">
        <v>46168.791666666672</v>
      </c>
      <c r="H1" s="141">
        <v>100482</v>
      </c>
      <c r="I1" s="141" t="s">
        <v>299</v>
      </c>
      <c r="J1" s="141" t="s">
        <v>300</v>
      </c>
      <c r="K1" s="143">
        <v>38</v>
      </c>
      <c r="L1" s="142">
        <v>1</v>
      </c>
      <c r="M1" s="147"/>
      <c r="N1" s="147">
        <v>1</v>
      </c>
      <c r="O1" s="147">
        <v>0</v>
      </c>
    </row>
    <row r="2" spans="1:15" x14ac:dyDescent="0.25">
      <c r="A2" s="141" t="s">
        <v>224</v>
      </c>
      <c r="B2" s="141" t="s">
        <v>225</v>
      </c>
      <c r="C2" s="141">
        <v>3811</v>
      </c>
      <c r="D2" s="141" t="s">
        <v>226</v>
      </c>
      <c r="E2" s="141" t="s">
        <v>298</v>
      </c>
      <c r="F2" s="145">
        <v>1619184</v>
      </c>
      <c r="G2" s="146">
        <v>46168.791666666672</v>
      </c>
      <c r="H2" s="141">
        <v>14791</v>
      </c>
      <c r="I2" s="141" t="s">
        <v>301</v>
      </c>
      <c r="J2" s="141" t="s">
        <v>302</v>
      </c>
      <c r="K2" s="143">
        <v>88.07</v>
      </c>
      <c r="L2" s="142">
        <v>1</v>
      </c>
      <c r="M2" s="147"/>
      <c r="N2" s="147">
        <v>1</v>
      </c>
      <c r="O2" s="147">
        <v>0</v>
      </c>
    </row>
    <row r="3" spans="1:15" x14ac:dyDescent="0.25">
      <c r="A3" s="141" t="s">
        <v>224</v>
      </c>
      <c r="B3" s="141" t="s">
        <v>225</v>
      </c>
      <c r="C3" s="141">
        <v>3811</v>
      </c>
      <c r="D3" s="141" t="s">
        <v>226</v>
      </c>
      <c r="E3" s="141" t="s">
        <v>298</v>
      </c>
      <c r="F3" s="145">
        <v>1619182</v>
      </c>
      <c r="G3" s="146">
        <v>46168.791666666672</v>
      </c>
      <c r="H3" s="141">
        <v>37870</v>
      </c>
      <c r="I3" s="141" t="s">
        <v>303</v>
      </c>
      <c r="J3" s="141" t="s">
        <v>304</v>
      </c>
      <c r="K3" s="143">
        <v>54.1</v>
      </c>
      <c r="L3" s="142">
        <v>1</v>
      </c>
      <c r="M3" s="147"/>
      <c r="N3" s="147">
        <v>1</v>
      </c>
      <c r="O3" s="147">
        <v>0</v>
      </c>
    </row>
    <row r="4" spans="1:15" x14ac:dyDescent="0.25">
      <c r="A4" s="141" t="s">
        <v>224</v>
      </c>
      <c r="B4" s="141" t="s">
        <v>225</v>
      </c>
      <c r="C4" s="141">
        <v>3811</v>
      </c>
      <c r="D4" s="141" t="s">
        <v>226</v>
      </c>
      <c r="E4" s="141" t="s">
        <v>298</v>
      </c>
      <c r="F4" s="145">
        <v>1619184</v>
      </c>
      <c r="G4" s="146">
        <v>46168.791666666672</v>
      </c>
      <c r="H4" s="141">
        <v>37891</v>
      </c>
      <c r="I4" s="141" t="s">
        <v>305</v>
      </c>
      <c r="J4" s="141" t="s">
        <v>306</v>
      </c>
      <c r="K4" s="143">
        <v>50.12</v>
      </c>
      <c r="L4" s="142">
        <v>5</v>
      </c>
      <c r="M4" s="147"/>
      <c r="N4" s="147">
        <v>5</v>
      </c>
      <c r="O4" s="147">
        <v>0</v>
      </c>
    </row>
    <row r="5" spans="1:15" x14ac:dyDescent="0.25">
      <c r="A5" s="141" t="s">
        <v>224</v>
      </c>
      <c r="B5" s="141" t="s">
        <v>225</v>
      </c>
      <c r="C5" s="141">
        <v>3811</v>
      </c>
      <c r="D5" s="141" t="s">
        <v>226</v>
      </c>
      <c r="E5" s="141" t="s">
        <v>298</v>
      </c>
      <c r="F5" s="145">
        <v>1619182</v>
      </c>
      <c r="G5" s="146">
        <v>46168.791666666672</v>
      </c>
      <c r="H5" s="141">
        <v>37901</v>
      </c>
      <c r="I5" s="141" t="s">
        <v>307</v>
      </c>
      <c r="J5" s="141" t="s">
        <v>308</v>
      </c>
      <c r="K5" s="143">
        <v>104.85</v>
      </c>
      <c r="L5" s="142">
        <v>1</v>
      </c>
      <c r="M5" s="147"/>
      <c r="N5" s="147">
        <v>1</v>
      </c>
      <c r="O5" s="147">
        <v>0</v>
      </c>
    </row>
    <row r="6" spans="1:15" x14ac:dyDescent="0.25">
      <c r="A6" s="141" t="s">
        <v>224</v>
      </c>
      <c r="B6" s="141" t="s">
        <v>225</v>
      </c>
      <c r="C6" s="141">
        <v>3811</v>
      </c>
      <c r="D6" s="141" t="s">
        <v>226</v>
      </c>
      <c r="E6" s="141" t="s">
        <v>298</v>
      </c>
      <c r="F6" s="145">
        <v>1619183</v>
      </c>
      <c r="G6" s="146">
        <v>46168.791666666672</v>
      </c>
      <c r="H6" s="141">
        <v>37909</v>
      </c>
      <c r="I6" s="141" t="s">
        <v>309</v>
      </c>
      <c r="J6" s="141" t="s">
        <v>310</v>
      </c>
      <c r="K6" s="143">
        <v>50.98</v>
      </c>
      <c r="L6" s="142">
        <v>5</v>
      </c>
      <c r="M6" s="147"/>
      <c r="N6" s="147">
        <v>5</v>
      </c>
      <c r="O6" s="147">
        <v>0</v>
      </c>
    </row>
    <row r="7" spans="1:15" x14ac:dyDescent="0.25">
      <c r="A7" s="141" t="s">
        <v>224</v>
      </c>
      <c r="B7" s="141" t="s">
        <v>225</v>
      </c>
      <c r="C7" s="141">
        <v>3811</v>
      </c>
      <c r="D7" s="141" t="s">
        <v>226</v>
      </c>
      <c r="E7" s="141" t="s">
        <v>298</v>
      </c>
      <c r="F7" s="145">
        <v>1619183</v>
      </c>
      <c r="G7" s="146">
        <v>46168.791666666672</v>
      </c>
      <c r="H7" s="141">
        <v>37911</v>
      </c>
      <c r="I7" s="141" t="s">
        <v>311</v>
      </c>
      <c r="J7" s="141" t="s">
        <v>312</v>
      </c>
      <c r="K7" s="143">
        <v>123.46</v>
      </c>
      <c r="L7" s="142">
        <v>1</v>
      </c>
      <c r="M7" s="147"/>
      <c r="N7" s="147">
        <v>1</v>
      </c>
      <c r="O7" s="147">
        <v>0</v>
      </c>
    </row>
    <row r="8" spans="1:15" x14ac:dyDescent="0.25">
      <c r="A8" s="141" t="s">
        <v>224</v>
      </c>
      <c r="B8" s="141" t="s">
        <v>225</v>
      </c>
      <c r="C8" s="141">
        <v>3811</v>
      </c>
      <c r="D8" s="141" t="s">
        <v>226</v>
      </c>
      <c r="E8" s="141" t="s">
        <v>298</v>
      </c>
      <c r="F8" s="145">
        <v>1619182</v>
      </c>
      <c r="G8" s="146">
        <v>46168.791666666672</v>
      </c>
      <c r="H8" s="141" t="s">
        <v>111</v>
      </c>
      <c r="I8" s="141" t="s">
        <v>313</v>
      </c>
      <c r="J8" s="141" t="s">
        <v>314</v>
      </c>
      <c r="K8" s="143">
        <v>17.5</v>
      </c>
      <c r="L8" s="142">
        <v>2</v>
      </c>
      <c r="M8" s="147"/>
      <c r="N8" s="147">
        <v>2</v>
      </c>
      <c r="O8" s="147">
        <v>0</v>
      </c>
    </row>
    <row r="9" spans="1:15" x14ac:dyDescent="0.25">
      <c r="A9" s="141" t="s">
        <v>224</v>
      </c>
      <c r="B9" s="141" t="s">
        <v>225</v>
      </c>
      <c r="C9" s="141">
        <v>3811</v>
      </c>
      <c r="D9" s="141" t="s">
        <v>226</v>
      </c>
      <c r="E9" s="141" t="s">
        <v>298</v>
      </c>
      <c r="F9" s="145">
        <v>1619184</v>
      </c>
      <c r="G9" s="146">
        <v>46168.791666666672</v>
      </c>
      <c r="H9" s="141">
        <v>37923</v>
      </c>
      <c r="I9" s="141" t="s">
        <v>315</v>
      </c>
      <c r="J9" s="141" t="s">
        <v>316</v>
      </c>
      <c r="K9" s="143">
        <v>39.5</v>
      </c>
      <c r="L9" s="142">
        <v>6</v>
      </c>
      <c r="M9" s="147"/>
      <c r="N9" s="147">
        <v>6</v>
      </c>
      <c r="O9" s="147">
        <v>0</v>
      </c>
    </row>
    <row r="10" spans="1:15" x14ac:dyDescent="0.25">
      <c r="A10" s="141" t="s">
        <v>224</v>
      </c>
      <c r="B10" s="141" t="s">
        <v>225</v>
      </c>
      <c r="C10" s="141">
        <v>3811</v>
      </c>
      <c r="D10" s="141" t="s">
        <v>226</v>
      </c>
      <c r="E10" s="141" t="s">
        <v>298</v>
      </c>
      <c r="F10" s="145">
        <v>1619184</v>
      </c>
      <c r="G10" s="146">
        <v>46168.791666666672</v>
      </c>
      <c r="H10" s="141">
        <v>37925</v>
      </c>
      <c r="I10" s="141" t="s">
        <v>317</v>
      </c>
      <c r="J10" s="141" t="s">
        <v>316</v>
      </c>
      <c r="K10" s="143">
        <v>54.18</v>
      </c>
      <c r="L10" s="142">
        <v>8</v>
      </c>
      <c r="M10" s="147"/>
      <c r="N10" s="147">
        <v>8</v>
      </c>
      <c r="O10" s="147">
        <v>0</v>
      </c>
    </row>
    <row r="11" spans="1:15" x14ac:dyDescent="0.25">
      <c r="A11" s="141" t="s">
        <v>224</v>
      </c>
      <c r="B11" s="141" t="s">
        <v>225</v>
      </c>
      <c r="C11" s="141">
        <v>3811</v>
      </c>
      <c r="D11" s="141" t="s">
        <v>226</v>
      </c>
      <c r="E11" s="141" t="s">
        <v>298</v>
      </c>
      <c r="F11" s="145">
        <v>1619184</v>
      </c>
      <c r="G11" s="146">
        <v>46168.791666666672</v>
      </c>
      <c r="H11" s="141">
        <v>37927</v>
      </c>
      <c r="I11" s="141" t="s">
        <v>318</v>
      </c>
      <c r="J11" s="141" t="s">
        <v>319</v>
      </c>
      <c r="K11" s="143">
        <v>41.56</v>
      </c>
      <c r="L11" s="142">
        <v>2</v>
      </c>
      <c r="M11" s="147"/>
      <c r="N11" s="147">
        <v>2</v>
      </c>
      <c r="O11" s="147">
        <v>0</v>
      </c>
    </row>
    <row r="12" spans="1:15" x14ac:dyDescent="0.25">
      <c r="A12" s="141" t="s">
        <v>224</v>
      </c>
      <c r="B12" s="141" t="s">
        <v>225</v>
      </c>
      <c r="C12" s="141">
        <v>3811</v>
      </c>
      <c r="D12" s="141" t="s">
        <v>226</v>
      </c>
      <c r="E12" s="141" t="s">
        <v>298</v>
      </c>
      <c r="F12" s="145">
        <v>1619182</v>
      </c>
      <c r="G12" s="146">
        <v>46168.791666666672</v>
      </c>
      <c r="H12" s="141">
        <v>37989</v>
      </c>
      <c r="I12" s="141" t="s">
        <v>320</v>
      </c>
      <c r="J12" s="141" t="s">
        <v>321</v>
      </c>
      <c r="K12" s="143">
        <v>49.33</v>
      </c>
      <c r="L12" s="142">
        <v>1</v>
      </c>
      <c r="M12" s="147"/>
      <c r="N12" s="147">
        <v>1</v>
      </c>
      <c r="O12" s="147">
        <v>0</v>
      </c>
    </row>
    <row r="13" spans="1:15" x14ac:dyDescent="0.25">
      <c r="A13" s="141" t="s">
        <v>224</v>
      </c>
      <c r="B13" s="141" t="s">
        <v>225</v>
      </c>
      <c r="C13" s="141">
        <v>3811</v>
      </c>
      <c r="D13" s="141" t="s">
        <v>226</v>
      </c>
      <c r="E13" s="141" t="s">
        <v>298</v>
      </c>
      <c r="F13" s="145">
        <v>1619182</v>
      </c>
      <c r="G13" s="146">
        <v>46168.791666666672</v>
      </c>
      <c r="H13" s="141">
        <v>37991</v>
      </c>
      <c r="I13" s="141" t="s">
        <v>322</v>
      </c>
      <c r="J13" s="141" t="s">
        <v>323</v>
      </c>
      <c r="K13" s="143">
        <v>39.14</v>
      </c>
      <c r="L13" s="142">
        <v>1</v>
      </c>
      <c r="M13" s="147"/>
      <c r="N13" s="147">
        <v>1</v>
      </c>
      <c r="O13" s="147">
        <v>0</v>
      </c>
    </row>
    <row r="14" spans="1:15" x14ac:dyDescent="0.25">
      <c r="A14" s="141" t="s">
        <v>224</v>
      </c>
      <c r="B14" s="141" t="s">
        <v>225</v>
      </c>
      <c r="C14" s="141">
        <v>3811</v>
      </c>
      <c r="D14" s="141" t="s">
        <v>226</v>
      </c>
      <c r="E14" s="141" t="s">
        <v>298</v>
      </c>
      <c r="F14" s="145">
        <v>1619182</v>
      </c>
      <c r="G14" s="146">
        <v>46168.791666666672</v>
      </c>
      <c r="H14" s="141">
        <v>38050</v>
      </c>
      <c r="I14" s="141" t="s">
        <v>107</v>
      </c>
      <c r="J14" s="141" t="s">
        <v>324</v>
      </c>
      <c r="K14" s="143">
        <v>48.78</v>
      </c>
      <c r="L14" s="142">
        <v>1</v>
      </c>
      <c r="M14" s="147"/>
      <c r="N14" s="147">
        <v>1</v>
      </c>
      <c r="O14" s="147">
        <v>0</v>
      </c>
    </row>
    <row r="15" spans="1:15" x14ac:dyDescent="0.25">
      <c r="A15" s="141" t="s">
        <v>224</v>
      </c>
      <c r="B15" s="141" t="s">
        <v>225</v>
      </c>
      <c r="C15" s="141">
        <v>3811</v>
      </c>
      <c r="D15" s="141" t="s">
        <v>226</v>
      </c>
      <c r="E15" s="141" t="s">
        <v>298</v>
      </c>
      <c r="F15" s="145">
        <v>1619182</v>
      </c>
      <c r="G15" s="146">
        <v>46168.791666666672</v>
      </c>
      <c r="H15" s="141">
        <v>38076</v>
      </c>
      <c r="I15" s="141" t="s">
        <v>325</v>
      </c>
      <c r="J15" s="141" t="s">
        <v>326</v>
      </c>
      <c r="K15" s="143">
        <v>73.73</v>
      </c>
      <c r="L15" s="142">
        <v>1</v>
      </c>
      <c r="M15" s="147"/>
      <c r="N15" s="147">
        <v>1</v>
      </c>
      <c r="O15" s="147">
        <v>0</v>
      </c>
    </row>
    <row r="16" spans="1:15" x14ac:dyDescent="0.25">
      <c r="A16" s="141" t="s">
        <v>224</v>
      </c>
      <c r="B16" s="141" t="s">
        <v>225</v>
      </c>
      <c r="C16" s="141">
        <v>3811</v>
      </c>
      <c r="D16" s="141" t="s">
        <v>226</v>
      </c>
      <c r="E16" s="141" t="s">
        <v>298</v>
      </c>
      <c r="F16" s="145">
        <v>1619184</v>
      </c>
      <c r="G16" s="146">
        <v>46168.791666666672</v>
      </c>
      <c r="H16" s="141" t="s">
        <v>139</v>
      </c>
      <c r="I16" s="141" t="s">
        <v>327</v>
      </c>
      <c r="J16" s="141" t="s">
        <v>328</v>
      </c>
      <c r="K16" s="143">
        <v>63.72</v>
      </c>
      <c r="L16" s="142">
        <v>5</v>
      </c>
      <c r="M16" s="147"/>
      <c r="N16" s="147">
        <v>5</v>
      </c>
      <c r="O16" s="147">
        <v>0</v>
      </c>
    </row>
    <row r="17" spans="1:15" x14ac:dyDescent="0.25">
      <c r="A17" s="141" t="s">
        <v>224</v>
      </c>
      <c r="B17" s="141" t="s">
        <v>225</v>
      </c>
      <c r="C17" s="141">
        <v>3811</v>
      </c>
      <c r="D17" s="141" t="s">
        <v>226</v>
      </c>
      <c r="E17" s="141" t="s">
        <v>298</v>
      </c>
      <c r="F17" s="145">
        <v>1619183</v>
      </c>
      <c r="G17" s="146">
        <v>46168.791666666672</v>
      </c>
      <c r="H17" s="141">
        <v>38414</v>
      </c>
      <c r="I17" s="141" t="s">
        <v>329</v>
      </c>
      <c r="J17" s="141" t="s">
        <v>330</v>
      </c>
      <c r="K17" s="143">
        <v>102.9</v>
      </c>
      <c r="L17" s="142">
        <v>2</v>
      </c>
      <c r="M17" s="147"/>
      <c r="N17" s="147">
        <v>2</v>
      </c>
      <c r="O17" s="147">
        <v>0</v>
      </c>
    </row>
    <row r="18" spans="1:15" x14ac:dyDescent="0.25">
      <c r="A18" s="141" t="s">
        <v>224</v>
      </c>
      <c r="B18" s="141" t="s">
        <v>225</v>
      </c>
      <c r="C18" s="141">
        <v>3811</v>
      </c>
      <c r="D18" s="141" t="s">
        <v>226</v>
      </c>
      <c r="E18" s="141" t="s">
        <v>298</v>
      </c>
      <c r="F18" s="145">
        <v>1619183</v>
      </c>
      <c r="G18" s="146">
        <v>46168.791666666672</v>
      </c>
      <c r="H18" s="141">
        <v>38493</v>
      </c>
      <c r="I18" s="141" t="s">
        <v>331</v>
      </c>
      <c r="J18" s="141" t="s">
        <v>330</v>
      </c>
      <c r="K18" s="143">
        <v>108.45</v>
      </c>
      <c r="L18" s="142">
        <v>1</v>
      </c>
      <c r="M18" s="147"/>
      <c r="N18" s="147">
        <v>1</v>
      </c>
      <c r="O18" s="147">
        <v>0</v>
      </c>
    </row>
    <row r="19" spans="1:15" x14ac:dyDescent="0.25">
      <c r="A19" s="141" t="s">
        <v>224</v>
      </c>
      <c r="B19" s="141" t="s">
        <v>225</v>
      </c>
      <c r="C19" s="141">
        <v>3811</v>
      </c>
      <c r="D19" s="141" t="s">
        <v>226</v>
      </c>
      <c r="E19" s="141" t="s">
        <v>298</v>
      </c>
      <c r="F19" s="145">
        <v>1619182</v>
      </c>
      <c r="G19" s="146">
        <v>46168.791666666672</v>
      </c>
      <c r="H19" s="141">
        <v>38542</v>
      </c>
      <c r="I19" s="141" t="s">
        <v>332</v>
      </c>
      <c r="J19" s="141" t="s">
        <v>333</v>
      </c>
      <c r="K19" s="143">
        <v>77.72</v>
      </c>
      <c r="L19" s="142">
        <v>1</v>
      </c>
      <c r="M19" s="147"/>
      <c r="N19" s="147">
        <v>1</v>
      </c>
      <c r="O19" s="147">
        <v>0</v>
      </c>
    </row>
    <row r="20" spans="1:15" x14ac:dyDescent="0.25">
      <c r="A20" s="141" t="s">
        <v>224</v>
      </c>
      <c r="B20" s="141" t="s">
        <v>225</v>
      </c>
      <c r="C20" s="141">
        <v>3811</v>
      </c>
      <c r="D20" s="141" t="s">
        <v>226</v>
      </c>
      <c r="E20" s="141" t="s">
        <v>298</v>
      </c>
      <c r="F20" s="145">
        <v>1619184</v>
      </c>
      <c r="G20" s="146">
        <v>46168.791666666672</v>
      </c>
      <c r="H20" s="141">
        <v>38620</v>
      </c>
      <c r="I20" s="141" t="s">
        <v>334</v>
      </c>
      <c r="J20" s="141" t="s">
        <v>335</v>
      </c>
      <c r="K20" s="143">
        <v>53.08</v>
      </c>
      <c r="L20" s="142">
        <v>5</v>
      </c>
      <c r="M20" s="147"/>
      <c r="N20" s="147">
        <v>5</v>
      </c>
      <c r="O20" s="147">
        <v>0</v>
      </c>
    </row>
    <row r="21" spans="1:15" x14ac:dyDescent="0.25">
      <c r="A21" s="141" t="s">
        <v>224</v>
      </c>
      <c r="B21" s="141" t="s">
        <v>225</v>
      </c>
      <c r="C21" s="141">
        <v>3811</v>
      </c>
      <c r="D21" s="141" t="s">
        <v>226</v>
      </c>
      <c r="E21" s="141" t="s">
        <v>298</v>
      </c>
      <c r="F21" s="145">
        <v>1619182</v>
      </c>
      <c r="G21" s="146">
        <v>46168.791666666672</v>
      </c>
      <c r="H21" s="141">
        <v>38890</v>
      </c>
      <c r="I21" s="141" t="s">
        <v>336</v>
      </c>
      <c r="J21" s="141" t="s">
        <v>321</v>
      </c>
      <c r="K21" s="143">
        <v>73.319999999999993</v>
      </c>
      <c r="L21" s="142">
        <v>1</v>
      </c>
      <c r="M21" s="147"/>
      <c r="N21" s="147">
        <v>1</v>
      </c>
      <c r="O21" s="147">
        <v>0</v>
      </c>
    </row>
    <row r="22" spans="1:15" x14ac:dyDescent="0.25">
      <c r="A22" s="141" t="s">
        <v>224</v>
      </c>
      <c r="B22" s="141" t="s">
        <v>225</v>
      </c>
      <c r="C22" s="141">
        <v>3811</v>
      </c>
      <c r="D22" s="141" t="s">
        <v>226</v>
      </c>
      <c r="E22" s="141" t="s">
        <v>298</v>
      </c>
      <c r="F22" s="145">
        <v>1619182</v>
      </c>
      <c r="G22" s="146">
        <v>46168.791666666672</v>
      </c>
      <c r="H22" s="141">
        <v>38892</v>
      </c>
      <c r="I22" s="141" t="s">
        <v>337</v>
      </c>
      <c r="J22" s="141" t="s">
        <v>323</v>
      </c>
      <c r="K22" s="143">
        <v>54.05</v>
      </c>
      <c r="L22" s="142">
        <v>3</v>
      </c>
      <c r="M22" s="147"/>
      <c r="N22" s="147">
        <v>3</v>
      </c>
      <c r="O22" s="147">
        <v>0</v>
      </c>
    </row>
    <row r="23" spans="1:15" x14ac:dyDescent="0.25">
      <c r="A23" s="141" t="s">
        <v>224</v>
      </c>
      <c r="B23" s="141" t="s">
        <v>225</v>
      </c>
      <c r="C23" s="141">
        <v>3811</v>
      </c>
      <c r="D23" s="141" t="s">
        <v>226</v>
      </c>
      <c r="E23" s="141" t="s">
        <v>298</v>
      </c>
      <c r="F23" s="145">
        <v>1619184</v>
      </c>
      <c r="G23" s="146">
        <v>46168.791666666672</v>
      </c>
      <c r="H23" s="141">
        <v>39009</v>
      </c>
      <c r="I23" s="141" t="s">
        <v>338</v>
      </c>
      <c r="J23" s="141" t="s">
        <v>339</v>
      </c>
      <c r="K23" s="143">
        <v>28.56</v>
      </c>
      <c r="L23" s="142">
        <v>5</v>
      </c>
      <c r="M23" s="147"/>
      <c r="N23" s="147">
        <v>5</v>
      </c>
      <c r="O23" s="147">
        <v>0</v>
      </c>
    </row>
    <row r="24" spans="1:15" x14ac:dyDescent="0.25">
      <c r="A24" s="141" t="s">
        <v>224</v>
      </c>
      <c r="B24" s="141" t="s">
        <v>225</v>
      </c>
      <c r="C24" s="141">
        <v>3811</v>
      </c>
      <c r="D24" s="141" t="s">
        <v>226</v>
      </c>
      <c r="E24" s="141" t="s">
        <v>298</v>
      </c>
      <c r="F24" s="145">
        <v>1619184</v>
      </c>
      <c r="G24" s="146">
        <v>46168.791666666672</v>
      </c>
      <c r="H24" s="141">
        <v>39520</v>
      </c>
      <c r="I24" s="141" t="s">
        <v>340</v>
      </c>
      <c r="J24" s="141" t="s">
        <v>341</v>
      </c>
      <c r="K24" s="143">
        <v>173.16</v>
      </c>
      <c r="L24" s="142">
        <v>10</v>
      </c>
      <c r="M24" s="141"/>
      <c r="N24" s="142">
        <v>10</v>
      </c>
      <c r="O24" s="142">
        <v>0</v>
      </c>
    </row>
    <row r="25" spans="1:15" x14ac:dyDescent="0.25">
      <c r="A25" s="141" t="s">
        <v>224</v>
      </c>
      <c r="B25" s="141" t="s">
        <v>225</v>
      </c>
      <c r="C25" s="141">
        <v>3811</v>
      </c>
      <c r="D25" s="141" t="s">
        <v>226</v>
      </c>
      <c r="E25" s="141" t="s">
        <v>298</v>
      </c>
      <c r="F25" s="145">
        <v>1619182</v>
      </c>
      <c r="G25" s="146">
        <v>46168.791666666672</v>
      </c>
      <c r="H25" s="141">
        <v>39744</v>
      </c>
      <c r="I25" s="141" t="s">
        <v>342</v>
      </c>
      <c r="J25" s="141" t="s">
        <v>321</v>
      </c>
      <c r="K25" s="143">
        <v>46.15</v>
      </c>
      <c r="L25" s="142">
        <v>1</v>
      </c>
      <c r="M25" s="141"/>
      <c r="N25" s="142">
        <v>1</v>
      </c>
      <c r="O25" s="142">
        <v>0</v>
      </c>
    </row>
    <row r="26" spans="1:15" x14ac:dyDescent="0.25">
      <c r="A26" s="141" t="s">
        <v>224</v>
      </c>
      <c r="B26" s="141" t="s">
        <v>225</v>
      </c>
      <c r="C26" s="141">
        <v>3811</v>
      </c>
      <c r="D26" s="141" t="s">
        <v>226</v>
      </c>
      <c r="E26" s="141" t="s">
        <v>298</v>
      </c>
      <c r="F26" s="145">
        <v>1619184</v>
      </c>
      <c r="G26" s="146">
        <v>46168.791666666672</v>
      </c>
      <c r="H26" s="141" t="s">
        <v>147</v>
      </c>
      <c r="I26" s="141" t="s">
        <v>343</v>
      </c>
      <c r="J26" s="141" t="s">
        <v>344</v>
      </c>
      <c r="K26" s="143">
        <v>81.069999999999993</v>
      </c>
      <c r="L26" s="142">
        <v>10</v>
      </c>
      <c r="M26" s="141"/>
      <c r="N26" s="142">
        <v>10</v>
      </c>
      <c r="O26" s="142">
        <v>0</v>
      </c>
    </row>
    <row r="27" spans="1:15" x14ac:dyDescent="0.25">
      <c r="A27" s="141" t="s">
        <v>224</v>
      </c>
      <c r="B27" s="141" t="s">
        <v>225</v>
      </c>
      <c r="C27" s="141">
        <v>3811</v>
      </c>
      <c r="D27" s="141" t="s">
        <v>226</v>
      </c>
      <c r="E27" s="141" t="s">
        <v>298</v>
      </c>
      <c r="F27" s="145">
        <v>1619182</v>
      </c>
      <c r="G27" s="146">
        <v>46168.791666666672</v>
      </c>
      <c r="H27" s="141">
        <v>39942</v>
      </c>
      <c r="I27" s="141" t="s">
        <v>345</v>
      </c>
      <c r="J27" s="141" t="s">
        <v>346</v>
      </c>
      <c r="K27" s="143">
        <v>65.790000000000006</v>
      </c>
      <c r="L27" s="142">
        <v>1</v>
      </c>
      <c r="M27" s="141"/>
      <c r="N27" s="142">
        <v>1</v>
      </c>
      <c r="O27" s="142">
        <v>0</v>
      </c>
    </row>
    <row r="28" spans="1:15" x14ac:dyDescent="0.25">
      <c r="A28" s="141" t="s">
        <v>224</v>
      </c>
      <c r="B28" s="142" t="s">
        <v>225</v>
      </c>
      <c r="C28" s="141">
        <v>3811</v>
      </c>
      <c r="D28" s="142" t="s">
        <v>226</v>
      </c>
      <c r="E28" s="142" t="s">
        <v>298</v>
      </c>
      <c r="F28" s="141">
        <v>1619182</v>
      </c>
      <c r="G28" s="141">
        <v>46168.791666666672</v>
      </c>
      <c r="H28" s="141" t="s">
        <v>79</v>
      </c>
      <c r="I28" s="141" t="s">
        <v>347</v>
      </c>
      <c r="J28" s="141" t="s">
        <v>308</v>
      </c>
      <c r="K28" s="141">
        <v>27.22</v>
      </c>
      <c r="L28" s="141">
        <v>1</v>
      </c>
      <c r="M28" s="141"/>
      <c r="N28" s="142">
        <v>1</v>
      </c>
      <c r="O28" s="142">
        <v>0</v>
      </c>
    </row>
    <row r="29" spans="1:15" x14ac:dyDescent="0.25">
      <c r="A29" s="141" t="s">
        <v>224</v>
      </c>
      <c r="B29" s="141" t="s">
        <v>225</v>
      </c>
      <c r="C29" s="141">
        <v>3811</v>
      </c>
      <c r="D29" s="141" t="s">
        <v>226</v>
      </c>
      <c r="E29" s="141" t="s">
        <v>298</v>
      </c>
      <c r="F29" s="145">
        <v>1619182</v>
      </c>
      <c r="G29" s="146">
        <v>46168.791666666672</v>
      </c>
      <c r="H29" s="141">
        <v>40014</v>
      </c>
      <c r="I29" s="141" t="s">
        <v>348</v>
      </c>
      <c r="J29" s="141" t="s">
        <v>349</v>
      </c>
      <c r="K29" s="143">
        <v>35.409999999999997</v>
      </c>
      <c r="L29" s="142">
        <v>1</v>
      </c>
      <c r="M29" s="141"/>
      <c r="N29" s="142">
        <v>1</v>
      </c>
      <c r="O29" s="142">
        <v>0</v>
      </c>
    </row>
    <row r="30" spans="1:15" x14ac:dyDescent="0.25">
      <c r="A30" s="141" t="s">
        <v>224</v>
      </c>
      <c r="B30" s="141" t="s">
        <v>225</v>
      </c>
      <c r="C30" s="141">
        <v>3811</v>
      </c>
      <c r="D30" s="141" t="s">
        <v>226</v>
      </c>
      <c r="E30" s="141" t="s">
        <v>298</v>
      </c>
      <c r="F30" s="145">
        <v>1619184</v>
      </c>
      <c r="G30" s="146">
        <v>46168.791666666672</v>
      </c>
      <c r="H30" s="141">
        <v>40109</v>
      </c>
      <c r="I30" s="141" t="s">
        <v>350</v>
      </c>
      <c r="J30" s="141" t="s">
        <v>312</v>
      </c>
      <c r="K30" s="143">
        <v>37.200000000000003</v>
      </c>
      <c r="L30" s="142">
        <v>28</v>
      </c>
      <c r="M30" s="141"/>
      <c r="N30" s="142">
        <v>28</v>
      </c>
      <c r="O30" s="142">
        <v>0</v>
      </c>
    </row>
    <row r="31" spans="1:15" x14ac:dyDescent="0.25">
      <c r="A31" s="141" t="s">
        <v>224</v>
      </c>
      <c r="B31" s="141" t="s">
        <v>225</v>
      </c>
      <c r="C31" s="141">
        <v>3811</v>
      </c>
      <c r="D31" s="141" t="s">
        <v>226</v>
      </c>
      <c r="E31" s="141" t="s">
        <v>298</v>
      </c>
      <c r="F31" s="145">
        <v>1619183</v>
      </c>
      <c r="G31" s="146">
        <v>46168.791666666672</v>
      </c>
      <c r="H31" s="141">
        <v>40266</v>
      </c>
      <c r="I31" s="141" t="s">
        <v>351</v>
      </c>
      <c r="J31" s="141" t="s">
        <v>312</v>
      </c>
      <c r="K31" s="143">
        <v>144.44</v>
      </c>
      <c r="L31" s="142">
        <v>3</v>
      </c>
      <c r="M31" s="141"/>
      <c r="N31" s="142">
        <v>3</v>
      </c>
      <c r="O31" s="142">
        <v>0</v>
      </c>
    </row>
    <row r="32" spans="1:15" x14ac:dyDescent="0.25">
      <c r="A32" s="141" t="s">
        <v>224</v>
      </c>
      <c r="B32" s="141" t="s">
        <v>225</v>
      </c>
      <c r="C32" s="141">
        <v>3811</v>
      </c>
      <c r="D32" s="141" t="s">
        <v>226</v>
      </c>
      <c r="E32" s="141" t="s">
        <v>298</v>
      </c>
      <c r="F32" s="145">
        <v>1619184</v>
      </c>
      <c r="G32" s="146">
        <v>46168.791666666672</v>
      </c>
      <c r="H32" s="141">
        <v>40303</v>
      </c>
      <c r="I32" s="141" t="s">
        <v>352</v>
      </c>
      <c r="J32" s="141" t="s">
        <v>353</v>
      </c>
      <c r="K32" s="143">
        <v>185.5</v>
      </c>
      <c r="L32" s="142">
        <v>2</v>
      </c>
      <c r="M32" s="141"/>
      <c r="N32" s="142">
        <v>2</v>
      </c>
      <c r="O32" s="142">
        <v>0</v>
      </c>
    </row>
    <row r="33" spans="1:15" x14ac:dyDescent="0.25">
      <c r="A33" s="141" t="s">
        <v>224</v>
      </c>
      <c r="B33" s="141" t="s">
        <v>225</v>
      </c>
      <c r="C33" s="141">
        <v>3811</v>
      </c>
      <c r="D33" s="141" t="s">
        <v>226</v>
      </c>
      <c r="E33" s="141" t="s">
        <v>298</v>
      </c>
      <c r="F33" s="145">
        <v>1619182</v>
      </c>
      <c r="G33" s="146">
        <v>46168.791666666672</v>
      </c>
      <c r="H33" s="141">
        <v>504372</v>
      </c>
      <c r="I33" s="141" t="s">
        <v>354</v>
      </c>
      <c r="J33" s="141" t="s">
        <v>355</v>
      </c>
      <c r="K33" s="143">
        <v>23.22</v>
      </c>
      <c r="L33" s="142">
        <v>1</v>
      </c>
      <c r="M33" s="141"/>
      <c r="N33" s="142">
        <v>1</v>
      </c>
      <c r="O33" s="142">
        <v>0</v>
      </c>
    </row>
    <row r="34" spans="1:15" x14ac:dyDescent="0.25">
      <c r="A34" s="141" t="s">
        <v>224</v>
      </c>
      <c r="B34" s="141" t="s">
        <v>225</v>
      </c>
      <c r="C34" s="141">
        <v>3811</v>
      </c>
      <c r="D34" s="141" t="s">
        <v>226</v>
      </c>
      <c r="E34" s="141" t="s">
        <v>298</v>
      </c>
      <c r="F34" s="145">
        <v>1619183</v>
      </c>
      <c r="G34" s="146">
        <v>46168.791666666672</v>
      </c>
      <c r="H34" s="141">
        <v>507825</v>
      </c>
      <c r="I34" s="141" t="s">
        <v>356</v>
      </c>
      <c r="J34" s="141" t="s">
        <v>357</v>
      </c>
      <c r="K34" s="143">
        <v>39.51</v>
      </c>
      <c r="L34" s="142">
        <v>1</v>
      </c>
      <c r="M34" s="141"/>
      <c r="N34" s="142">
        <v>1</v>
      </c>
      <c r="O34" s="142">
        <v>0</v>
      </c>
    </row>
    <row r="35" spans="1:15" x14ac:dyDescent="0.25">
      <c r="A35" s="141" t="s">
        <v>224</v>
      </c>
      <c r="B35" s="141" t="s">
        <v>225</v>
      </c>
      <c r="C35" s="141">
        <v>3811</v>
      </c>
      <c r="D35" s="141" t="s">
        <v>226</v>
      </c>
      <c r="E35" s="141" t="s">
        <v>298</v>
      </c>
      <c r="F35" s="145">
        <v>1619234</v>
      </c>
      <c r="G35" s="146">
        <v>46168.966736111106</v>
      </c>
      <c r="H35" s="141">
        <v>507825</v>
      </c>
      <c r="I35" s="141" t="s">
        <v>356</v>
      </c>
      <c r="J35" s="141" t="s">
        <v>357</v>
      </c>
      <c r="K35" s="143">
        <v>39.51</v>
      </c>
      <c r="L35" s="142">
        <v>8</v>
      </c>
      <c r="M35" s="141"/>
      <c r="N35" s="142">
        <v>8</v>
      </c>
      <c r="O35" s="142">
        <v>0</v>
      </c>
    </row>
    <row r="36" spans="1:15" x14ac:dyDescent="0.25">
      <c r="A36" s="141" t="s">
        <v>224</v>
      </c>
      <c r="B36" s="141" t="s">
        <v>225</v>
      </c>
      <c r="C36" s="141">
        <v>3811</v>
      </c>
      <c r="D36" s="141" t="s">
        <v>226</v>
      </c>
      <c r="E36" s="141" t="s">
        <v>298</v>
      </c>
      <c r="F36" s="145">
        <v>1619182</v>
      </c>
      <c r="G36" s="146">
        <v>46168.791666666672</v>
      </c>
      <c r="H36" s="141">
        <v>507876</v>
      </c>
      <c r="I36" s="141" t="s">
        <v>358</v>
      </c>
      <c r="J36" s="141" t="s">
        <v>321</v>
      </c>
      <c r="K36" s="143">
        <v>74.64</v>
      </c>
      <c r="L36" s="142">
        <v>1</v>
      </c>
      <c r="M36" s="141"/>
      <c r="N36" s="142">
        <v>1</v>
      </c>
      <c r="O36" s="142">
        <v>0</v>
      </c>
    </row>
    <row r="37" spans="1:15" x14ac:dyDescent="0.25">
      <c r="A37" s="141" t="s">
        <v>224</v>
      </c>
      <c r="B37" s="141" t="s">
        <v>225</v>
      </c>
      <c r="C37" s="141">
        <v>3811</v>
      </c>
      <c r="D37" s="141" t="s">
        <v>226</v>
      </c>
      <c r="E37" s="141" t="s">
        <v>359</v>
      </c>
      <c r="F37" s="145">
        <v>1619186</v>
      </c>
      <c r="G37" s="146">
        <v>46168.791666666672</v>
      </c>
      <c r="H37" s="141" t="s">
        <v>204</v>
      </c>
      <c r="I37" s="141" t="s">
        <v>360</v>
      </c>
      <c r="J37" s="141" t="s">
        <v>361</v>
      </c>
      <c r="K37" s="143">
        <v>39.19</v>
      </c>
      <c r="L37" s="142">
        <v>1</v>
      </c>
      <c r="M37" s="141"/>
      <c r="N37" s="142">
        <v>1</v>
      </c>
      <c r="O37" s="142">
        <v>0</v>
      </c>
    </row>
    <row r="38" spans="1:15" x14ac:dyDescent="0.25">
      <c r="A38" s="141" t="s">
        <v>224</v>
      </c>
      <c r="B38" s="141" t="s">
        <v>225</v>
      </c>
      <c r="C38" s="141">
        <v>3811</v>
      </c>
      <c r="D38" s="141" t="s">
        <v>226</v>
      </c>
      <c r="E38" s="141" t="s">
        <v>359</v>
      </c>
      <c r="F38" s="145">
        <v>1619186</v>
      </c>
      <c r="G38" s="146">
        <v>46168.791666666672</v>
      </c>
      <c r="H38" s="141" t="s">
        <v>202</v>
      </c>
      <c r="I38" s="141" t="s">
        <v>362</v>
      </c>
      <c r="J38" s="141" t="s">
        <v>363</v>
      </c>
      <c r="K38" s="143">
        <v>35.03</v>
      </c>
      <c r="L38" s="142">
        <v>1</v>
      </c>
      <c r="M38" s="141"/>
      <c r="N38" s="142">
        <v>1</v>
      </c>
      <c r="O38" s="142">
        <v>0</v>
      </c>
    </row>
    <row r="39" spans="1:15" x14ac:dyDescent="0.25">
      <c r="A39" s="141" t="s">
        <v>224</v>
      </c>
      <c r="B39" s="141" t="s">
        <v>225</v>
      </c>
      <c r="C39" s="141">
        <v>3811</v>
      </c>
      <c r="D39" s="141" t="s">
        <v>226</v>
      </c>
      <c r="E39" s="141" t="s">
        <v>359</v>
      </c>
      <c r="F39" s="145">
        <v>1619186</v>
      </c>
      <c r="G39" s="146">
        <v>46168.791666666672</v>
      </c>
      <c r="H39" s="141" t="s">
        <v>206</v>
      </c>
      <c r="I39" s="141" t="s">
        <v>364</v>
      </c>
      <c r="J39" s="141" t="s">
        <v>363</v>
      </c>
      <c r="K39" s="143">
        <v>40.71</v>
      </c>
      <c r="L39" s="142">
        <v>4</v>
      </c>
      <c r="M39" s="141"/>
      <c r="N39" s="142">
        <v>4</v>
      </c>
      <c r="O39" s="142">
        <v>0</v>
      </c>
    </row>
    <row r="40" spans="1:15" x14ac:dyDescent="0.25">
      <c r="A40" s="141" t="s">
        <v>224</v>
      </c>
      <c r="B40" s="141" t="s">
        <v>225</v>
      </c>
      <c r="C40" s="141">
        <v>3811</v>
      </c>
      <c r="D40" s="141" t="s">
        <v>226</v>
      </c>
      <c r="E40" s="141" t="s">
        <v>359</v>
      </c>
      <c r="F40" s="145">
        <v>1619186</v>
      </c>
      <c r="G40" s="146">
        <v>46168.791666666672</v>
      </c>
      <c r="H40" s="141" t="s">
        <v>200</v>
      </c>
      <c r="I40" s="141" t="s">
        <v>365</v>
      </c>
      <c r="J40" s="141" t="s">
        <v>366</v>
      </c>
      <c r="K40" s="143">
        <v>36.19</v>
      </c>
      <c r="L40" s="142">
        <v>4</v>
      </c>
      <c r="M40" s="141"/>
      <c r="N40" s="142">
        <v>4</v>
      </c>
      <c r="O40" s="142">
        <v>0</v>
      </c>
    </row>
    <row r="41" spans="1:15" x14ac:dyDescent="0.25">
      <c r="A41" s="141" t="s">
        <v>224</v>
      </c>
      <c r="B41" s="141" t="s">
        <v>225</v>
      </c>
      <c r="C41" s="141">
        <v>3811</v>
      </c>
      <c r="D41" s="141" t="s">
        <v>226</v>
      </c>
      <c r="E41" s="141" t="s">
        <v>367</v>
      </c>
      <c r="F41" s="145">
        <v>1619185</v>
      </c>
      <c r="G41" s="146">
        <v>46168.791666666672</v>
      </c>
      <c r="H41" s="141">
        <v>10004423</v>
      </c>
      <c r="I41" s="141" t="s">
        <v>368</v>
      </c>
      <c r="J41" s="141" t="s">
        <v>369</v>
      </c>
      <c r="K41" s="143">
        <v>15.53</v>
      </c>
      <c r="L41" s="142">
        <v>1</v>
      </c>
      <c r="M41" s="141"/>
      <c r="N41" s="142">
        <v>1</v>
      </c>
      <c r="O41" s="142">
        <v>0</v>
      </c>
    </row>
    <row r="42" spans="1:15" x14ac:dyDescent="0.25">
      <c r="A42" s="141" t="s">
        <v>224</v>
      </c>
      <c r="B42" s="141" t="s">
        <v>225</v>
      </c>
      <c r="C42" s="141">
        <v>3811</v>
      </c>
      <c r="D42" s="141" t="s">
        <v>226</v>
      </c>
      <c r="E42" s="141" t="s">
        <v>367</v>
      </c>
      <c r="F42" s="145">
        <v>1619185</v>
      </c>
      <c r="G42" s="146">
        <v>46168.791666666672</v>
      </c>
      <c r="H42" s="141">
        <v>10005385</v>
      </c>
      <c r="I42" s="141" t="s">
        <v>252</v>
      </c>
      <c r="J42" s="141" t="s">
        <v>370</v>
      </c>
      <c r="K42" s="143">
        <v>35.28</v>
      </c>
      <c r="L42" s="142">
        <v>1</v>
      </c>
      <c r="M42" s="141"/>
      <c r="N42" s="142">
        <v>1</v>
      </c>
      <c r="O42" s="142">
        <v>0</v>
      </c>
    </row>
    <row r="43" spans="1:15" x14ac:dyDescent="0.25">
      <c r="A43" s="141" t="s">
        <v>224</v>
      </c>
      <c r="B43" s="142" t="s">
        <v>225</v>
      </c>
      <c r="C43" s="141">
        <v>3811</v>
      </c>
      <c r="D43" s="142" t="s">
        <v>226</v>
      </c>
      <c r="E43" s="142" t="s">
        <v>367</v>
      </c>
      <c r="F43" s="141">
        <v>1619185</v>
      </c>
      <c r="G43" s="141">
        <v>46168.791666666672</v>
      </c>
      <c r="H43" s="141">
        <v>10006282</v>
      </c>
      <c r="I43" s="141" t="s">
        <v>371</v>
      </c>
      <c r="J43" s="141" t="s">
        <v>372</v>
      </c>
      <c r="K43" s="141">
        <v>11.81</v>
      </c>
      <c r="L43" s="141">
        <v>1</v>
      </c>
      <c r="M43" s="141"/>
      <c r="N43" s="141">
        <v>1</v>
      </c>
      <c r="O43" s="141">
        <v>0</v>
      </c>
    </row>
    <row r="44" spans="1:15" x14ac:dyDescent="0.25">
      <c r="A44" s="148" t="s">
        <v>224</v>
      </c>
      <c r="B44" s="148" t="s">
        <v>225</v>
      </c>
      <c r="C44" s="148">
        <v>3811</v>
      </c>
      <c r="D44" s="148" t="s">
        <v>226</v>
      </c>
      <c r="E44" s="148" t="s">
        <v>367</v>
      </c>
      <c r="F44" s="149">
        <v>1619185</v>
      </c>
      <c r="G44" s="150">
        <v>46168.791666666672</v>
      </c>
      <c r="H44" s="148">
        <v>10006573</v>
      </c>
      <c r="I44" s="148" t="s">
        <v>373</v>
      </c>
      <c r="J44" s="148" t="s">
        <v>369</v>
      </c>
      <c r="K44" s="151">
        <v>15.53</v>
      </c>
      <c r="L44" s="152">
        <v>1</v>
      </c>
      <c r="M44" s="148"/>
      <c r="N44" s="152">
        <v>1</v>
      </c>
      <c r="O44" s="152">
        <v>0</v>
      </c>
    </row>
    <row r="45" spans="1:15" x14ac:dyDescent="0.25">
      <c r="A45" s="148" t="s">
        <v>224</v>
      </c>
      <c r="B45" s="148" t="s">
        <v>225</v>
      </c>
      <c r="C45" s="148">
        <v>3811</v>
      </c>
      <c r="D45" s="148" t="s">
        <v>226</v>
      </c>
      <c r="E45" s="148" t="s">
        <v>367</v>
      </c>
      <c r="F45" s="149">
        <v>1619185</v>
      </c>
      <c r="G45" s="150">
        <v>46168.791666666672</v>
      </c>
      <c r="H45" s="148">
        <v>10006826</v>
      </c>
      <c r="I45" s="148" t="s">
        <v>374</v>
      </c>
      <c r="J45" s="148" t="s">
        <v>372</v>
      </c>
      <c r="K45" s="151">
        <v>26.34</v>
      </c>
      <c r="L45" s="152">
        <v>1</v>
      </c>
      <c r="M45" s="148"/>
      <c r="N45" s="152">
        <v>1</v>
      </c>
      <c r="O45" s="152">
        <v>0</v>
      </c>
    </row>
    <row r="46" spans="1:15" x14ac:dyDescent="0.25">
      <c r="A46" s="148" t="s">
        <v>224</v>
      </c>
      <c r="B46" s="148" t="s">
        <v>225</v>
      </c>
      <c r="C46" s="148">
        <v>3811</v>
      </c>
      <c r="D46" s="148" t="s">
        <v>226</v>
      </c>
      <c r="E46" s="148" t="s">
        <v>367</v>
      </c>
      <c r="F46" s="149">
        <v>1619185</v>
      </c>
      <c r="G46" s="150">
        <v>46168.791666666672</v>
      </c>
      <c r="H46" s="148">
        <v>10006909</v>
      </c>
      <c r="I46" s="148" t="s">
        <v>375</v>
      </c>
      <c r="J46" s="148" t="s">
        <v>372</v>
      </c>
      <c r="K46" s="151">
        <v>42</v>
      </c>
      <c r="L46" s="152">
        <v>1</v>
      </c>
      <c r="M46" s="148"/>
      <c r="N46" s="152">
        <v>1</v>
      </c>
      <c r="O46" s="152">
        <v>0</v>
      </c>
    </row>
    <row r="47" spans="1:15" x14ac:dyDescent="0.25">
      <c r="A47" s="148" t="s">
        <v>224</v>
      </c>
      <c r="B47" s="148" t="s">
        <v>225</v>
      </c>
      <c r="C47" s="148">
        <v>3811</v>
      </c>
      <c r="D47" s="148" t="s">
        <v>226</v>
      </c>
      <c r="E47" s="148" t="s">
        <v>367</v>
      </c>
      <c r="F47" s="149">
        <v>1619185</v>
      </c>
      <c r="G47" s="150">
        <v>46168.791666666672</v>
      </c>
      <c r="H47" s="148">
        <v>10006936</v>
      </c>
      <c r="I47" s="148" t="s">
        <v>376</v>
      </c>
      <c r="J47" s="148" t="s">
        <v>372</v>
      </c>
      <c r="K47" s="151">
        <v>42</v>
      </c>
      <c r="L47" s="152">
        <v>1</v>
      </c>
      <c r="M47" s="148"/>
      <c r="N47" s="152">
        <v>1</v>
      </c>
      <c r="O47" s="152">
        <v>0</v>
      </c>
    </row>
    <row r="48" spans="1:15" x14ac:dyDescent="0.25">
      <c r="A48" s="148" t="s">
        <v>224</v>
      </c>
      <c r="B48" s="148" t="s">
        <v>225</v>
      </c>
      <c r="C48" s="148">
        <v>3811</v>
      </c>
      <c r="D48" s="148" t="s">
        <v>226</v>
      </c>
      <c r="E48" s="148" t="s">
        <v>367</v>
      </c>
      <c r="F48" s="149">
        <v>1619185</v>
      </c>
      <c r="G48" s="150">
        <v>46168.791666666672</v>
      </c>
      <c r="H48" s="148">
        <v>10007576</v>
      </c>
      <c r="I48" s="148" t="s">
        <v>377</v>
      </c>
      <c r="J48" s="148" t="s">
        <v>369</v>
      </c>
      <c r="K48" s="151">
        <v>15.53</v>
      </c>
      <c r="L48" s="152">
        <v>1</v>
      </c>
      <c r="M48" s="148"/>
      <c r="N48" s="152">
        <v>1</v>
      </c>
      <c r="O48" s="152">
        <v>0</v>
      </c>
    </row>
    <row r="49" spans="1:15" x14ac:dyDescent="0.25">
      <c r="A49" s="148" t="s">
        <v>224</v>
      </c>
      <c r="B49" s="148" t="s">
        <v>225</v>
      </c>
      <c r="C49" s="148">
        <v>3811</v>
      </c>
      <c r="D49" s="148" t="s">
        <v>226</v>
      </c>
      <c r="E49" s="148" t="s">
        <v>367</v>
      </c>
      <c r="F49" s="149">
        <v>1619185</v>
      </c>
      <c r="G49" s="150">
        <v>46168.791666666672</v>
      </c>
      <c r="H49" s="148">
        <v>3226</v>
      </c>
      <c r="I49" s="148" t="s">
        <v>378</v>
      </c>
      <c r="J49" s="148" t="s">
        <v>372</v>
      </c>
      <c r="K49" s="151">
        <v>13.81</v>
      </c>
      <c r="L49" s="152">
        <v>1</v>
      </c>
      <c r="M49" s="148"/>
      <c r="N49" s="152">
        <v>1</v>
      </c>
      <c r="O49" s="152">
        <v>0</v>
      </c>
    </row>
    <row r="50" spans="1:15" x14ac:dyDescent="0.25">
      <c r="A50" s="148" t="s">
        <v>224</v>
      </c>
      <c r="B50" s="148" t="s">
        <v>225</v>
      </c>
      <c r="C50" s="148">
        <v>3811</v>
      </c>
      <c r="D50" s="148" t="s">
        <v>226</v>
      </c>
      <c r="E50" s="148" t="s">
        <v>367</v>
      </c>
      <c r="F50" s="149">
        <v>1619185</v>
      </c>
      <c r="G50" s="150">
        <v>46168.791666666672</v>
      </c>
      <c r="H50" s="148">
        <v>3478</v>
      </c>
      <c r="I50" s="148" t="s">
        <v>258</v>
      </c>
      <c r="J50" s="148" t="s">
        <v>379</v>
      </c>
      <c r="K50" s="151">
        <v>23.52</v>
      </c>
      <c r="L50" s="152">
        <v>1</v>
      </c>
      <c r="M50" s="148"/>
      <c r="N50" s="152">
        <v>1</v>
      </c>
      <c r="O50" s="152">
        <v>0</v>
      </c>
    </row>
    <row r="51" spans="1:15" x14ac:dyDescent="0.25">
      <c r="A51" s="148" t="s">
        <v>224</v>
      </c>
      <c r="B51" s="148" t="s">
        <v>225</v>
      </c>
      <c r="C51" s="148">
        <v>3811</v>
      </c>
      <c r="D51" s="148" t="s">
        <v>226</v>
      </c>
      <c r="E51" s="148" t="s">
        <v>367</v>
      </c>
      <c r="F51" s="149">
        <v>1619185</v>
      </c>
      <c r="G51" s="150">
        <v>46168.791666666672</v>
      </c>
      <c r="H51" s="148">
        <v>3939</v>
      </c>
      <c r="I51" s="148" t="s">
        <v>245</v>
      </c>
      <c r="J51" s="148" t="s">
        <v>370</v>
      </c>
      <c r="K51" s="151">
        <v>35.28</v>
      </c>
      <c r="L51" s="152">
        <v>1</v>
      </c>
      <c r="M51" s="148"/>
      <c r="N51" s="152">
        <v>1</v>
      </c>
      <c r="O51" s="152">
        <v>0</v>
      </c>
    </row>
    <row r="52" spans="1:15" x14ac:dyDescent="0.25">
      <c r="A52" s="148" t="s">
        <v>224</v>
      </c>
      <c r="B52" s="148" t="s">
        <v>225</v>
      </c>
      <c r="C52" s="148">
        <v>3811</v>
      </c>
      <c r="D52" s="148" t="s">
        <v>226</v>
      </c>
      <c r="E52" s="148" t="s">
        <v>367</v>
      </c>
      <c r="F52" s="149">
        <v>1619185</v>
      </c>
      <c r="G52" s="150">
        <v>46168.791666666672</v>
      </c>
      <c r="H52" s="148">
        <v>4095</v>
      </c>
      <c r="I52" s="148" t="s">
        <v>267</v>
      </c>
      <c r="J52" s="148" t="s">
        <v>379</v>
      </c>
      <c r="K52" s="151">
        <v>43.04</v>
      </c>
      <c r="L52" s="152">
        <v>1</v>
      </c>
      <c r="M52" s="148"/>
      <c r="N52" s="152">
        <v>1</v>
      </c>
      <c r="O52" s="152">
        <v>0</v>
      </c>
    </row>
    <row r="53" spans="1:15" x14ac:dyDescent="0.25">
      <c r="A53" s="148" t="s">
        <v>296</v>
      </c>
      <c r="B53" s="148">
        <v>150</v>
      </c>
      <c r="C53" s="148"/>
      <c r="D53" s="148">
        <v>150</v>
      </c>
      <c r="E53" s="148">
        <v>0</v>
      </c>
      <c r="F53" s="149" t="s">
        <v>297</v>
      </c>
      <c r="G53" s="150"/>
      <c r="H53" s="148"/>
      <c r="I53" s="148"/>
      <c r="J53" s="148"/>
      <c r="K53" s="151"/>
      <c r="L53" s="152"/>
      <c r="M53" s="148"/>
      <c r="N53" s="152"/>
      <c r="O53" s="152"/>
    </row>
    <row r="54" spans="1:15" x14ac:dyDescent="0.25">
      <c r="A54" s="148"/>
      <c r="B54" s="148"/>
      <c r="C54" s="148"/>
      <c r="D54" s="148"/>
      <c r="E54" s="148"/>
      <c r="F54" s="149"/>
      <c r="G54" s="150"/>
      <c r="H54" s="148"/>
      <c r="I54" s="148"/>
      <c r="J54" s="148"/>
      <c r="K54" s="151"/>
      <c r="L54" s="152"/>
      <c r="M54" s="148"/>
      <c r="N54" s="152"/>
      <c r="O54" s="152"/>
    </row>
    <row r="55" spans="1:15" x14ac:dyDescent="0.25">
      <c r="A55" s="148"/>
      <c r="B55" s="148"/>
      <c r="C55" s="148"/>
      <c r="D55" s="148"/>
      <c r="E55" s="148"/>
      <c r="F55" s="149"/>
      <c r="G55" s="150"/>
      <c r="H55" s="148"/>
      <c r="I55" s="148"/>
      <c r="J55" s="148"/>
      <c r="K55" s="151"/>
      <c r="L55" s="152"/>
      <c r="M55" s="148"/>
      <c r="N55" s="152"/>
      <c r="O55" s="152"/>
    </row>
    <row r="56" spans="1:15" x14ac:dyDescent="0.25">
      <c r="A56" s="148"/>
      <c r="B56" s="148"/>
      <c r="C56" s="148"/>
      <c r="D56" s="148"/>
      <c r="E56" s="148"/>
      <c r="F56" s="149"/>
      <c r="G56" s="150"/>
      <c r="H56" s="148"/>
      <c r="I56" s="148"/>
      <c r="J56" s="148"/>
      <c r="K56" s="151"/>
      <c r="L56" s="152"/>
      <c r="M56" s="148"/>
      <c r="N56" s="152"/>
      <c r="O56" s="152"/>
    </row>
    <row r="57" spans="1:15" x14ac:dyDescent="0.25">
      <c r="A57" s="148"/>
      <c r="B57" s="148"/>
      <c r="C57" s="148"/>
      <c r="D57" s="148"/>
      <c r="E57" s="148"/>
      <c r="F57" s="149"/>
      <c r="G57" s="150"/>
      <c r="H57" s="148"/>
      <c r="I57" s="148"/>
      <c r="J57" s="148"/>
      <c r="K57" s="151"/>
      <c r="L57" s="152"/>
      <c r="M57" s="148"/>
      <c r="N57" s="152"/>
      <c r="O57" s="152"/>
    </row>
    <row r="58" spans="1:15" x14ac:dyDescent="0.25">
      <c r="A58" s="148"/>
      <c r="B58" s="148"/>
      <c r="C58" s="148"/>
      <c r="D58" s="148"/>
      <c r="E58" s="148"/>
      <c r="F58" s="149"/>
      <c r="G58" s="150"/>
      <c r="H58" s="148"/>
      <c r="I58" s="148"/>
      <c r="J58" s="148"/>
      <c r="K58" s="151"/>
      <c r="L58" s="152"/>
      <c r="M58" s="148"/>
      <c r="N58" s="152"/>
      <c r="O58" s="152"/>
    </row>
    <row r="59" spans="1:15" x14ac:dyDescent="0.25">
      <c r="A59" s="148"/>
      <c r="B59" s="148"/>
      <c r="C59" s="148"/>
      <c r="D59" s="148"/>
      <c r="E59" s="148"/>
      <c r="F59" s="149"/>
      <c r="G59" s="150"/>
      <c r="H59" s="148"/>
      <c r="I59" s="148"/>
      <c r="J59" s="148"/>
      <c r="K59" s="151"/>
      <c r="L59" s="152"/>
      <c r="M59" s="148"/>
      <c r="N59" s="152"/>
      <c r="O59" s="152"/>
    </row>
    <row r="60" spans="1:15" x14ac:dyDescent="0.25">
      <c r="A60" s="148"/>
      <c r="B60" s="148"/>
      <c r="C60" s="148"/>
      <c r="D60" s="148"/>
      <c r="E60" s="148"/>
      <c r="F60" s="149"/>
      <c r="G60" s="150"/>
      <c r="H60" s="148"/>
      <c r="I60" s="148"/>
      <c r="J60" s="148"/>
      <c r="K60" s="151"/>
      <c r="L60" s="152"/>
      <c r="M60" s="148"/>
      <c r="N60" s="152"/>
      <c r="O60" s="152"/>
    </row>
    <row r="61" spans="1:15" x14ac:dyDescent="0.25">
      <c r="A61" s="148"/>
      <c r="B61" s="148"/>
      <c r="C61" s="148"/>
      <c r="D61" s="148"/>
      <c r="E61" s="148"/>
      <c r="F61" s="149"/>
      <c r="G61" s="150"/>
      <c r="H61" s="148"/>
      <c r="I61" s="148"/>
      <c r="J61" s="148"/>
      <c r="K61" s="151"/>
      <c r="L61" s="152"/>
      <c r="M61" s="148"/>
      <c r="N61" s="152"/>
      <c r="O61" s="152"/>
    </row>
    <row r="62" spans="1:15" x14ac:dyDescent="0.25">
      <c r="A62" s="148"/>
      <c r="B62" s="148"/>
      <c r="C62" s="148"/>
      <c r="D62" s="148"/>
      <c r="E62" s="148"/>
      <c r="F62" s="149"/>
      <c r="G62" s="150"/>
      <c r="H62" s="148"/>
      <c r="I62" s="148"/>
      <c r="J62" s="148"/>
      <c r="K62" s="151"/>
      <c r="L62" s="152"/>
      <c r="M62" s="148"/>
      <c r="N62" s="152"/>
      <c r="O62" s="152"/>
    </row>
    <row r="63" spans="1:15" x14ac:dyDescent="0.25">
      <c r="A63" s="148"/>
      <c r="B63" s="148"/>
      <c r="C63" s="148"/>
      <c r="D63" s="148"/>
      <c r="E63" s="148"/>
      <c r="F63" s="149"/>
      <c r="G63" s="150"/>
      <c r="H63" s="148"/>
      <c r="I63" s="148"/>
      <c r="J63" s="148"/>
      <c r="K63" s="151"/>
      <c r="L63" s="152"/>
      <c r="M63" s="148"/>
      <c r="N63" s="152"/>
      <c r="O63" s="152"/>
    </row>
    <row r="64" spans="1:15" x14ac:dyDescent="0.25">
      <c r="A64" s="148"/>
      <c r="B64" s="148"/>
      <c r="C64" s="148"/>
      <c r="D64" s="148"/>
      <c r="E64" s="148"/>
      <c r="F64" s="149"/>
      <c r="G64" s="150"/>
      <c r="H64" s="148"/>
      <c r="I64" s="148"/>
      <c r="J64" s="148"/>
      <c r="K64" s="151"/>
      <c r="L64" s="152"/>
      <c r="M64" s="148"/>
      <c r="N64" s="152"/>
      <c r="O64" s="152"/>
    </row>
    <row r="65" spans="1:15" x14ac:dyDescent="0.25">
      <c r="A65" s="148"/>
      <c r="B65" s="148"/>
      <c r="C65" s="148"/>
      <c r="D65" s="148"/>
      <c r="E65" s="148"/>
      <c r="F65" s="149"/>
      <c r="G65" s="150"/>
      <c r="H65" s="148"/>
      <c r="I65" s="148"/>
      <c r="J65" s="148"/>
      <c r="K65" s="151"/>
      <c r="L65" s="152"/>
      <c r="M65" s="148"/>
      <c r="N65" s="152"/>
      <c r="O65" s="152"/>
    </row>
    <row r="66" spans="1:15" x14ac:dyDescent="0.25">
      <c r="A66" s="148"/>
      <c r="B66" s="148"/>
      <c r="C66" s="148"/>
      <c r="D66" s="148"/>
      <c r="E66" s="148"/>
      <c r="F66" s="149"/>
      <c r="G66" s="150"/>
      <c r="H66" s="148"/>
      <c r="I66" s="148"/>
      <c r="J66" s="148"/>
      <c r="K66" s="151"/>
      <c r="L66" s="152"/>
      <c r="M66" s="148"/>
      <c r="N66" s="152"/>
      <c r="O66" s="152"/>
    </row>
    <row r="67" spans="1:15" x14ac:dyDescent="0.25">
      <c r="A67" s="148"/>
      <c r="B67" s="148"/>
      <c r="C67" s="148"/>
      <c r="D67" s="148"/>
      <c r="E67" s="148"/>
      <c r="F67" s="149"/>
      <c r="G67" s="150"/>
      <c r="H67" s="148"/>
      <c r="I67" s="148"/>
      <c r="J67" s="148"/>
      <c r="K67" s="151"/>
      <c r="L67" s="152"/>
      <c r="M67" s="148"/>
      <c r="N67" s="152"/>
      <c r="O67" s="152"/>
    </row>
    <row r="68" spans="1:15" x14ac:dyDescent="0.25">
      <c r="A68" s="148"/>
      <c r="B68" s="148"/>
      <c r="C68" s="148"/>
      <c r="D68" s="148"/>
      <c r="E68" s="148"/>
      <c r="F68" s="149"/>
      <c r="G68" s="150"/>
      <c r="H68" s="148"/>
      <c r="I68" s="148"/>
      <c r="J68" s="148"/>
      <c r="K68" s="151"/>
      <c r="L68" s="152"/>
      <c r="M68" s="148"/>
      <c r="N68" s="152"/>
      <c r="O68" s="152"/>
    </row>
    <row r="69" spans="1:15" x14ac:dyDescent="0.25">
      <c r="A69" s="148"/>
      <c r="B69" s="148"/>
      <c r="C69" s="148"/>
      <c r="D69" s="148"/>
      <c r="E69" s="148"/>
      <c r="F69" s="149"/>
      <c r="G69" s="150"/>
      <c r="H69" s="148"/>
      <c r="I69" s="148"/>
      <c r="J69" s="148"/>
      <c r="K69" s="151"/>
      <c r="L69" s="152"/>
      <c r="M69" s="148"/>
      <c r="N69" s="152"/>
      <c r="O69" s="152"/>
    </row>
    <row r="70" spans="1:15" x14ac:dyDescent="0.25">
      <c r="A70" s="148"/>
      <c r="B70" s="148"/>
      <c r="C70" s="148"/>
      <c r="D70" s="148"/>
      <c r="E70" s="148"/>
      <c r="F70" s="149"/>
      <c r="G70" s="150"/>
      <c r="H70" s="148"/>
      <c r="I70" s="148"/>
      <c r="J70" s="148"/>
      <c r="K70" s="151"/>
      <c r="L70" s="152"/>
      <c r="M70" s="148"/>
      <c r="N70" s="152"/>
      <c r="O70" s="152"/>
    </row>
    <row r="71" spans="1:15" x14ac:dyDescent="0.25">
      <c r="A71" s="148"/>
      <c r="B71" s="152"/>
      <c r="C71" s="148"/>
      <c r="D71" s="152"/>
      <c r="E71" s="152"/>
      <c r="F71" s="148"/>
      <c r="G71" s="148"/>
      <c r="H71" s="148"/>
      <c r="I71" s="148"/>
      <c r="J71" s="148"/>
      <c r="K71" s="148"/>
      <c r="L71" s="148"/>
      <c r="M71" s="148"/>
      <c r="N71" s="148"/>
      <c r="O71" s="148"/>
    </row>
    <row r="72" spans="1:15" x14ac:dyDescent="0.25">
      <c r="A72" s="148"/>
      <c r="B72" s="152"/>
      <c r="C72" s="148"/>
      <c r="D72" s="152"/>
      <c r="E72" s="152"/>
      <c r="F72" s="148"/>
      <c r="G72" s="148"/>
      <c r="H72" s="148"/>
      <c r="I72" s="148"/>
      <c r="J72" s="148"/>
      <c r="K72" s="148"/>
      <c r="L72" s="148"/>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C00000"/>
  </sheetPr>
  <dimension ref="A1:T99"/>
  <sheetViews>
    <sheetView showGridLines="0" zoomScaleNormal="100" workbookViewId="0">
      <selection activeCell="N7" sqref="N7"/>
    </sheetView>
  </sheetViews>
  <sheetFormatPr defaultRowHeight="15" x14ac:dyDescent="0.25"/>
  <sheetData>
    <row r="1" spans="1:20" x14ac:dyDescent="0.25">
      <c r="A1" s="153" t="s">
        <v>380</v>
      </c>
      <c r="B1" s="153" t="s">
        <v>381</v>
      </c>
      <c r="C1" s="153" t="s">
        <v>382</v>
      </c>
      <c r="D1" s="153" t="s">
        <v>383</v>
      </c>
      <c r="E1" s="153" t="s">
        <v>384</v>
      </c>
      <c r="F1" s="153" t="s">
        <v>385</v>
      </c>
      <c r="G1" s="153" t="s">
        <v>386</v>
      </c>
      <c r="H1" s="153" t="s">
        <v>387</v>
      </c>
      <c r="I1" s="153" t="s">
        <v>388</v>
      </c>
      <c r="J1" s="153" t="s">
        <v>389</v>
      </c>
      <c r="K1" s="153" t="s">
        <v>390</v>
      </c>
      <c r="L1" s="153" t="s">
        <v>391</v>
      </c>
      <c r="M1" s="153" t="s">
        <v>392</v>
      </c>
      <c r="N1" s="153" t="s">
        <v>393</v>
      </c>
      <c r="O1" s="153" t="s">
        <v>394</v>
      </c>
      <c r="P1" s="153" t="s">
        <v>395</v>
      </c>
      <c r="Q1" s="153" t="s">
        <v>396</v>
      </c>
      <c r="R1" s="153" t="s">
        <v>397</v>
      </c>
      <c r="S1" s="153" t="s">
        <v>398</v>
      </c>
      <c r="T1" s="153" t="s">
        <v>399</v>
      </c>
    </row>
    <row r="2" spans="1:20" ht="75" customHeight="1" x14ac:dyDescent="0.25">
      <c r="A2" s="153" t="s">
        <v>400</v>
      </c>
      <c r="B2" s="153" t="s">
        <v>401</v>
      </c>
      <c r="C2" s="153" t="s">
        <v>392</v>
      </c>
      <c r="D2" s="154" t="s">
        <v>402</v>
      </c>
      <c r="E2" s="154" t="s">
        <v>403</v>
      </c>
      <c r="F2" s="154" t="s">
        <v>404</v>
      </c>
      <c r="G2" s="154" t="s">
        <v>405</v>
      </c>
      <c r="H2" s="154" t="s">
        <v>406</v>
      </c>
      <c r="I2" s="154" t="s">
        <v>407</v>
      </c>
      <c r="J2" s="154" t="s">
        <v>408</v>
      </c>
      <c r="K2" s="153">
        <v>37995</v>
      </c>
      <c r="L2" s="153" t="s">
        <v>74</v>
      </c>
      <c r="M2" s="153" t="s">
        <v>308</v>
      </c>
      <c r="N2" s="153">
        <v>0.03</v>
      </c>
      <c r="O2" s="153">
        <v>0.05</v>
      </c>
      <c r="P2" s="153">
        <v>0.04</v>
      </c>
      <c r="Q2" s="153">
        <v>0.04</v>
      </c>
      <c r="R2" s="153">
        <v>0.02</v>
      </c>
      <c r="S2" s="153">
        <v>0.03</v>
      </c>
      <c r="T2" s="153">
        <v>0.02</v>
      </c>
    </row>
    <row r="3" spans="1:20" ht="75" customHeight="1" x14ac:dyDescent="0.25">
      <c r="A3" s="153" t="s">
        <v>400</v>
      </c>
      <c r="B3" s="153" t="s">
        <v>401</v>
      </c>
      <c r="C3" s="153" t="s">
        <v>392</v>
      </c>
      <c r="D3" s="154" t="s">
        <v>402</v>
      </c>
      <c r="E3" s="154" t="s">
        <v>403</v>
      </c>
      <c r="F3" s="154" t="s">
        <v>404</v>
      </c>
      <c r="G3" s="154" t="s">
        <v>405</v>
      </c>
      <c r="H3" s="154" t="s">
        <v>406</v>
      </c>
      <c r="I3" s="154" t="s">
        <v>407</v>
      </c>
      <c r="J3" s="154" t="s">
        <v>408</v>
      </c>
      <c r="K3" s="153">
        <v>37993</v>
      </c>
      <c r="L3" s="153" t="s">
        <v>77</v>
      </c>
      <c r="M3" s="153" t="s">
        <v>308</v>
      </c>
      <c r="N3" s="153">
        <v>0.05</v>
      </c>
      <c r="O3" s="153">
        <v>7.0000000000000007E-2</v>
      </c>
      <c r="P3" s="153">
        <v>0.06</v>
      </c>
      <c r="Q3" s="153">
        <v>0.06</v>
      </c>
      <c r="R3" s="153">
        <v>0.03</v>
      </c>
      <c r="S3" s="153">
        <v>0.03</v>
      </c>
      <c r="T3" s="153">
        <v>0.04</v>
      </c>
    </row>
    <row r="4" spans="1:20" ht="75" customHeight="1" x14ac:dyDescent="0.25">
      <c r="A4" s="153" t="s">
        <v>400</v>
      </c>
      <c r="B4" s="153" t="s">
        <v>401</v>
      </c>
      <c r="C4" s="153" t="s">
        <v>392</v>
      </c>
      <c r="D4" s="154" t="s">
        <v>402</v>
      </c>
      <c r="E4" s="154" t="s">
        <v>403</v>
      </c>
      <c r="F4" s="154" t="s">
        <v>404</v>
      </c>
      <c r="G4" s="154" t="s">
        <v>405</v>
      </c>
      <c r="H4" s="154" t="s">
        <v>406</v>
      </c>
      <c r="I4" s="154" t="s">
        <v>407</v>
      </c>
      <c r="J4" s="154" t="s">
        <v>408</v>
      </c>
      <c r="K4" s="153">
        <v>37893</v>
      </c>
      <c r="L4" s="153" t="s">
        <v>80</v>
      </c>
      <c r="M4" s="153" t="s">
        <v>346</v>
      </c>
      <c r="N4" s="153">
        <v>0.05</v>
      </c>
      <c r="O4" s="153">
        <v>0.09</v>
      </c>
      <c r="P4" s="153">
        <v>0.08</v>
      </c>
      <c r="Q4" s="153">
        <v>7.0000000000000007E-2</v>
      </c>
      <c r="R4" s="153">
        <v>0.04</v>
      </c>
      <c r="S4" s="153">
        <v>0.04</v>
      </c>
      <c r="T4" s="153">
        <v>0.04</v>
      </c>
    </row>
    <row r="5" spans="1:20" ht="75" customHeight="1" x14ac:dyDescent="0.25">
      <c r="A5" s="153" t="s">
        <v>400</v>
      </c>
      <c r="B5" s="153" t="s">
        <v>401</v>
      </c>
      <c r="C5" s="153" t="s">
        <v>392</v>
      </c>
      <c r="D5" s="154" t="s">
        <v>402</v>
      </c>
      <c r="E5" s="154" t="s">
        <v>403</v>
      </c>
      <c r="F5" s="154" t="s">
        <v>404</v>
      </c>
      <c r="G5" s="154" t="s">
        <v>405</v>
      </c>
      <c r="H5" s="154" t="s">
        <v>406</v>
      </c>
      <c r="I5" s="154" t="s">
        <v>407</v>
      </c>
      <c r="J5" s="154" t="s">
        <v>408</v>
      </c>
      <c r="K5" s="153">
        <v>37997</v>
      </c>
      <c r="L5" s="153" t="s">
        <v>82</v>
      </c>
      <c r="M5" s="153" t="s">
        <v>409</v>
      </c>
      <c r="N5" s="153">
        <v>0.05</v>
      </c>
      <c r="O5" s="153">
        <v>0.06</v>
      </c>
      <c r="P5" s="153">
        <v>0.08</v>
      </c>
      <c r="Q5" s="153">
        <v>0.08</v>
      </c>
      <c r="R5" s="153">
        <v>0.02</v>
      </c>
      <c r="S5" s="153">
        <v>0.03</v>
      </c>
      <c r="T5" s="153">
        <v>0.05</v>
      </c>
    </row>
    <row r="6" spans="1:20" ht="75" customHeight="1" x14ac:dyDescent="0.25">
      <c r="A6" s="153" t="s">
        <v>400</v>
      </c>
      <c r="B6" s="153" t="s">
        <v>401</v>
      </c>
      <c r="C6" s="153" t="s">
        <v>392</v>
      </c>
      <c r="D6" s="154" t="s">
        <v>402</v>
      </c>
      <c r="E6" s="154" t="s">
        <v>403</v>
      </c>
      <c r="F6" s="154" t="s">
        <v>404</v>
      </c>
      <c r="G6" s="154" t="s">
        <v>405</v>
      </c>
      <c r="H6" s="154" t="s">
        <v>406</v>
      </c>
      <c r="I6" s="154" t="s">
        <v>407</v>
      </c>
      <c r="J6" s="154" t="s">
        <v>408</v>
      </c>
      <c r="K6" s="153">
        <v>37991</v>
      </c>
      <c r="L6" s="153" t="s">
        <v>84</v>
      </c>
      <c r="M6" s="153" t="s">
        <v>323</v>
      </c>
      <c r="N6" s="153">
        <v>0.2</v>
      </c>
      <c r="O6" s="153">
        <v>0.3</v>
      </c>
      <c r="P6" s="153">
        <v>0.24</v>
      </c>
      <c r="Q6" s="153">
        <v>0.25</v>
      </c>
      <c r="R6" s="153">
        <v>0.12</v>
      </c>
      <c r="S6" s="153">
        <v>0.14000000000000001</v>
      </c>
      <c r="T6" s="153">
        <v>0.16</v>
      </c>
    </row>
    <row r="7" spans="1:20" ht="75" customHeight="1" x14ac:dyDescent="0.25">
      <c r="A7" s="153" t="s">
        <v>400</v>
      </c>
      <c r="B7" s="153" t="s">
        <v>401</v>
      </c>
      <c r="C7" s="153" t="s">
        <v>392</v>
      </c>
      <c r="D7" s="154" t="s">
        <v>402</v>
      </c>
      <c r="E7" s="154" t="s">
        <v>403</v>
      </c>
      <c r="F7" s="154" t="s">
        <v>404</v>
      </c>
      <c r="G7" s="154" t="s">
        <v>405</v>
      </c>
      <c r="H7" s="154" t="s">
        <v>406</v>
      </c>
      <c r="I7" s="154" t="s">
        <v>407</v>
      </c>
      <c r="J7" s="154" t="s">
        <v>408</v>
      </c>
      <c r="K7" s="153">
        <v>37989</v>
      </c>
      <c r="L7" s="153" t="s">
        <v>86</v>
      </c>
      <c r="M7" s="153" t="s">
        <v>321</v>
      </c>
      <c r="N7" s="153">
        <v>0.22</v>
      </c>
      <c r="O7" s="153">
        <v>0.34</v>
      </c>
      <c r="P7" s="153">
        <v>0.27</v>
      </c>
      <c r="Q7" s="153">
        <v>0.28000000000000003</v>
      </c>
      <c r="R7" s="153">
        <v>0.13</v>
      </c>
      <c r="S7" s="153">
        <v>0.16</v>
      </c>
      <c r="T7" s="153">
        <v>0.18</v>
      </c>
    </row>
    <row r="8" spans="1:20" ht="75" customHeight="1" x14ac:dyDescent="0.25">
      <c r="A8" s="153" t="s">
        <v>400</v>
      </c>
      <c r="B8" s="153" t="s">
        <v>401</v>
      </c>
      <c r="C8" s="153" t="s">
        <v>392</v>
      </c>
      <c r="D8" s="154" t="s">
        <v>402</v>
      </c>
      <c r="E8" s="154" t="s">
        <v>403</v>
      </c>
      <c r="F8" s="154" t="s">
        <v>404</v>
      </c>
      <c r="G8" s="154" t="s">
        <v>405</v>
      </c>
      <c r="H8" s="154" t="s">
        <v>406</v>
      </c>
      <c r="I8" s="154" t="s">
        <v>407</v>
      </c>
      <c r="J8" s="154" t="s">
        <v>408</v>
      </c>
      <c r="K8" s="153">
        <v>37987</v>
      </c>
      <c r="L8" s="153" t="s">
        <v>280</v>
      </c>
      <c r="M8" s="153" t="s">
        <v>321</v>
      </c>
      <c r="N8" s="153">
        <v>0.06</v>
      </c>
      <c r="O8" s="153">
        <v>0.09</v>
      </c>
      <c r="P8" s="153">
        <v>7.0000000000000007E-2</v>
      </c>
      <c r="Q8" s="153">
        <v>7.0000000000000007E-2</v>
      </c>
      <c r="R8" s="153">
        <v>0.03</v>
      </c>
      <c r="S8" s="153">
        <v>0.04</v>
      </c>
      <c r="T8" s="153">
        <v>0.05</v>
      </c>
    </row>
    <row r="9" spans="1:20" ht="75" customHeight="1" x14ac:dyDescent="0.25">
      <c r="A9" s="153" t="s">
        <v>400</v>
      </c>
      <c r="B9" s="153" t="s">
        <v>401</v>
      </c>
      <c r="C9" s="153" t="s">
        <v>392</v>
      </c>
      <c r="D9" s="154" t="s">
        <v>402</v>
      </c>
      <c r="E9" s="154" t="s">
        <v>403</v>
      </c>
      <c r="F9" s="154" t="s">
        <v>404</v>
      </c>
      <c r="G9" s="154" t="s">
        <v>405</v>
      </c>
      <c r="H9" s="154" t="s">
        <v>406</v>
      </c>
      <c r="I9" s="154" t="s">
        <v>407</v>
      </c>
      <c r="J9" s="154" t="s">
        <v>408</v>
      </c>
      <c r="K9" s="153">
        <v>37862</v>
      </c>
      <c r="L9" s="153" t="s">
        <v>269</v>
      </c>
      <c r="M9" s="153" t="s">
        <v>328</v>
      </c>
      <c r="N9" s="153">
        <v>0.56999999999999995</v>
      </c>
      <c r="O9" s="153">
        <v>0.88</v>
      </c>
      <c r="P9" s="153">
        <v>0.68</v>
      </c>
      <c r="Q9" s="153">
        <v>0.86</v>
      </c>
      <c r="R9" s="153">
        <v>0.41</v>
      </c>
      <c r="S9" s="153">
        <v>0.44</v>
      </c>
      <c r="T9" s="153">
        <v>0.38</v>
      </c>
    </row>
    <row r="10" spans="1:20" ht="75" customHeight="1" x14ac:dyDescent="0.25">
      <c r="A10" s="153" t="s">
        <v>400</v>
      </c>
      <c r="B10" s="153" t="s">
        <v>401</v>
      </c>
      <c r="C10" s="153" t="s">
        <v>392</v>
      </c>
      <c r="D10" s="154" t="s">
        <v>402</v>
      </c>
      <c r="E10" s="154" t="s">
        <v>403</v>
      </c>
      <c r="F10" s="154" t="s">
        <v>404</v>
      </c>
      <c r="G10" s="154" t="s">
        <v>405</v>
      </c>
      <c r="H10" s="154" t="s">
        <v>406</v>
      </c>
      <c r="I10" s="154" t="s">
        <v>407</v>
      </c>
      <c r="J10" s="154" t="s">
        <v>408</v>
      </c>
      <c r="K10" s="153">
        <v>38892</v>
      </c>
      <c r="L10" s="153" t="s">
        <v>88</v>
      </c>
      <c r="M10" s="153" t="s">
        <v>323</v>
      </c>
      <c r="N10" s="153">
        <v>0.16</v>
      </c>
      <c r="O10" s="153">
        <v>0.22</v>
      </c>
      <c r="P10" s="153">
        <v>0.26</v>
      </c>
      <c r="Q10" s="153">
        <v>0.25</v>
      </c>
      <c r="R10" s="153">
        <v>0.11</v>
      </c>
      <c r="S10" s="153">
        <v>0.14000000000000001</v>
      </c>
      <c r="T10" s="153">
        <v>0.14000000000000001</v>
      </c>
    </row>
    <row r="11" spans="1:20" ht="75" customHeight="1" x14ac:dyDescent="0.25">
      <c r="A11" s="153" t="s">
        <v>400</v>
      </c>
      <c r="B11" s="153" t="s">
        <v>401</v>
      </c>
      <c r="C11" s="153" t="s">
        <v>392</v>
      </c>
      <c r="D11" s="154" t="s">
        <v>402</v>
      </c>
      <c r="E11" s="154" t="s">
        <v>403</v>
      </c>
      <c r="F11" s="154" t="s">
        <v>404</v>
      </c>
      <c r="G11" s="154" t="s">
        <v>405</v>
      </c>
      <c r="H11" s="154" t="s">
        <v>406</v>
      </c>
      <c r="I11" s="154" t="s">
        <v>407</v>
      </c>
      <c r="J11" s="154" t="s">
        <v>408</v>
      </c>
      <c r="K11" s="153">
        <v>37872</v>
      </c>
      <c r="L11" s="153" t="s">
        <v>90</v>
      </c>
      <c r="M11" s="153" t="s">
        <v>349</v>
      </c>
      <c r="N11" s="153">
        <v>0.17</v>
      </c>
      <c r="O11" s="153">
        <v>0.26</v>
      </c>
      <c r="P11" s="153">
        <v>0.28000000000000003</v>
      </c>
      <c r="Q11" s="153">
        <v>0.25</v>
      </c>
      <c r="R11" s="153">
        <v>0.12</v>
      </c>
      <c r="S11" s="153">
        <v>0.15</v>
      </c>
      <c r="T11" s="153">
        <v>0.09</v>
      </c>
    </row>
    <row r="12" spans="1:20" ht="75" customHeight="1" x14ac:dyDescent="0.25">
      <c r="A12" s="153" t="s">
        <v>400</v>
      </c>
      <c r="B12" s="153" t="s">
        <v>401</v>
      </c>
      <c r="C12" s="153" t="s">
        <v>392</v>
      </c>
      <c r="D12" s="154" t="s">
        <v>402</v>
      </c>
      <c r="E12" s="154" t="s">
        <v>403</v>
      </c>
      <c r="F12" s="154" t="s">
        <v>404</v>
      </c>
      <c r="G12" s="154" t="s">
        <v>405</v>
      </c>
      <c r="H12" s="154" t="s">
        <v>406</v>
      </c>
      <c r="I12" s="154" t="s">
        <v>407</v>
      </c>
      <c r="J12" s="154" t="s">
        <v>408</v>
      </c>
      <c r="K12" s="153">
        <v>37876</v>
      </c>
      <c r="L12" s="153" t="s">
        <v>270</v>
      </c>
      <c r="M12" s="153" t="s">
        <v>312</v>
      </c>
      <c r="N12" s="153">
        <v>0.36</v>
      </c>
      <c r="O12" s="153">
        <v>0.57999999999999996</v>
      </c>
      <c r="P12" s="153">
        <v>0.45</v>
      </c>
      <c r="Q12" s="153">
        <v>0.53</v>
      </c>
      <c r="R12" s="153">
        <v>0.26</v>
      </c>
      <c r="S12" s="153">
        <v>0.3</v>
      </c>
      <c r="T12" s="153">
        <v>0.32</v>
      </c>
    </row>
    <row r="13" spans="1:20" ht="75" customHeight="1" x14ac:dyDescent="0.25">
      <c r="A13" s="153" t="s">
        <v>400</v>
      </c>
      <c r="B13" s="153" t="s">
        <v>401</v>
      </c>
      <c r="C13" s="153" t="s">
        <v>392</v>
      </c>
      <c r="D13" s="154" t="s">
        <v>402</v>
      </c>
      <c r="E13" s="154" t="s">
        <v>403</v>
      </c>
      <c r="F13" s="154" t="s">
        <v>404</v>
      </c>
      <c r="G13" s="154" t="s">
        <v>405</v>
      </c>
      <c r="H13" s="154" t="s">
        <v>406</v>
      </c>
      <c r="I13" s="154" t="s">
        <v>407</v>
      </c>
      <c r="J13" s="154" t="s">
        <v>408</v>
      </c>
      <c r="K13" s="153">
        <v>37911</v>
      </c>
      <c r="L13" s="153" t="s">
        <v>275</v>
      </c>
      <c r="M13" s="153" t="s">
        <v>312</v>
      </c>
      <c r="N13" s="153">
        <v>0.21</v>
      </c>
      <c r="O13" s="153">
        <v>0.28999999999999998</v>
      </c>
      <c r="P13" s="153">
        <v>0.26</v>
      </c>
      <c r="Q13" s="153">
        <v>0.24</v>
      </c>
      <c r="R13" s="153">
        <v>0.12</v>
      </c>
      <c r="S13" s="153">
        <v>0.14000000000000001</v>
      </c>
      <c r="T13" s="153">
        <v>0.16</v>
      </c>
    </row>
    <row r="14" spans="1:20" ht="75" customHeight="1" x14ac:dyDescent="0.25">
      <c r="A14" s="153" t="s">
        <v>400</v>
      </c>
      <c r="B14" s="153" t="s">
        <v>401</v>
      </c>
      <c r="C14" s="153" t="s">
        <v>392</v>
      </c>
      <c r="D14" s="154" t="s">
        <v>402</v>
      </c>
      <c r="E14" s="154" t="s">
        <v>403</v>
      </c>
      <c r="F14" s="154" t="s">
        <v>404</v>
      </c>
      <c r="G14" s="154" t="s">
        <v>405</v>
      </c>
      <c r="H14" s="154" t="s">
        <v>406</v>
      </c>
      <c r="I14" s="154" t="s">
        <v>407</v>
      </c>
      <c r="J14" s="154" t="s">
        <v>408</v>
      </c>
      <c r="K14" s="153">
        <v>40303</v>
      </c>
      <c r="L14" s="153" t="s">
        <v>295</v>
      </c>
      <c r="M14" s="153" t="s">
        <v>353</v>
      </c>
      <c r="N14" s="153">
        <v>0.26</v>
      </c>
      <c r="O14" s="153">
        <v>0.57999999999999996</v>
      </c>
      <c r="P14" s="153">
        <v>0.41</v>
      </c>
      <c r="Q14" s="153">
        <v>0.53</v>
      </c>
      <c r="R14" s="153">
        <v>0.2</v>
      </c>
      <c r="S14" s="153">
        <v>0.24</v>
      </c>
      <c r="T14" s="153">
        <v>0.28999999999999998</v>
      </c>
    </row>
    <row r="15" spans="1:20" ht="75" customHeight="1" x14ac:dyDescent="0.25">
      <c r="A15" s="153" t="s">
        <v>400</v>
      </c>
      <c r="B15" s="153" t="s">
        <v>401</v>
      </c>
      <c r="C15" s="153" t="s">
        <v>392</v>
      </c>
      <c r="D15" s="154" t="s">
        <v>402</v>
      </c>
      <c r="E15" s="154" t="s">
        <v>403</v>
      </c>
      <c r="F15" s="154" t="s">
        <v>404</v>
      </c>
      <c r="G15" s="154" t="s">
        <v>405</v>
      </c>
      <c r="H15" s="154" t="s">
        <v>406</v>
      </c>
      <c r="I15" s="154" t="s">
        <v>407</v>
      </c>
      <c r="J15" s="154" t="s">
        <v>408</v>
      </c>
      <c r="K15" s="153">
        <v>37887</v>
      </c>
      <c r="L15" s="153" t="s">
        <v>17</v>
      </c>
      <c r="M15" s="153" t="s">
        <v>339</v>
      </c>
      <c r="N15" s="153">
        <v>0.51</v>
      </c>
      <c r="O15" s="153">
        <v>0.93</v>
      </c>
      <c r="P15" s="153">
        <v>0.99</v>
      </c>
      <c r="Q15" s="153">
        <v>1</v>
      </c>
      <c r="R15" s="153">
        <v>0.34</v>
      </c>
      <c r="S15" s="153">
        <v>0.48</v>
      </c>
      <c r="T15" s="153">
        <v>0.37</v>
      </c>
    </row>
    <row r="16" spans="1:20" ht="75" customHeight="1" x14ac:dyDescent="0.25">
      <c r="A16" s="153" t="s">
        <v>400</v>
      </c>
      <c r="B16" s="153" t="s">
        <v>401</v>
      </c>
      <c r="C16" s="153" t="s">
        <v>392</v>
      </c>
      <c r="D16" s="154" t="s">
        <v>402</v>
      </c>
      <c r="E16" s="154" t="s">
        <v>403</v>
      </c>
      <c r="F16" s="154" t="s">
        <v>404</v>
      </c>
      <c r="G16" s="154" t="s">
        <v>405</v>
      </c>
      <c r="H16" s="154" t="s">
        <v>406</v>
      </c>
      <c r="I16" s="154" t="s">
        <v>407</v>
      </c>
      <c r="J16" s="154" t="s">
        <v>408</v>
      </c>
      <c r="K16" s="153">
        <v>37897</v>
      </c>
      <c r="L16" s="153" t="s">
        <v>273</v>
      </c>
      <c r="M16" s="153" t="s">
        <v>410</v>
      </c>
      <c r="N16" s="153">
        <v>0.06</v>
      </c>
      <c r="O16" s="153">
        <v>0.44</v>
      </c>
      <c r="P16" s="153">
        <v>0.56000000000000005</v>
      </c>
      <c r="Q16" s="153">
        <v>0.56000000000000005</v>
      </c>
      <c r="R16" s="153">
        <v>0.44</v>
      </c>
      <c r="S16" s="153">
        <v>0.31</v>
      </c>
      <c r="T16" s="153">
        <v>0.39</v>
      </c>
    </row>
    <row r="17" spans="1:20" ht="75" customHeight="1" x14ac:dyDescent="0.25">
      <c r="A17" s="153" t="s">
        <v>400</v>
      </c>
      <c r="B17" s="153" t="s">
        <v>401</v>
      </c>
      <c r="C17" s="153" t="s">
        <v>392</v>
      </c>
      <c r="D17" s="154" t="s">
        <v>402</v>
      </c>
      <c r="E17" s="154" t="s">
        <v>403</v>
      </c>
      <c r="F17" s="154" t="s">
        <v>404</v>
      </c>
      <c r="G17" s="154" t="s">
        <v>405</v>
      </c>
      <c r="H17" s="154" t="s">
        <v>406</v>
      </c>
      <c r="I17" s="154" t="s">
        <v>407</v>
      </c>
      <c r="J17" s="154" t="s">
        <v>408</v>
      </c>
      <c r="K17" s="153">
        <v>38352</v>
      </c>
      <c r="L17" s="153" t="s">
        <v>16</v>
      </c>
      <c r="M17" s="153" t="s">
        <v>411</v>
      </c>
      <c r="N17" s="153">
        <v>0</v>
      </c>
      <c r="O17" s="153">
        <v>0.01</v>
      </c>
      <c r="P17" s="153">
        <v>0</v>
      </c>
      <c r="Q17" s="153">
        <v>0</v>
      </c>
      <c r="R17" s="153">
        <v>0.01</v>
      </c>
      <c r="S17" s="153">
        <v>0.02</v>
      </c>
      <c r="T17" s="153">
        <v>0.01</v>
      </c>
    </row>
    <row r="18" spans="1:20" ht="75" customHeight="1" x14ac:dyDescent="0.25">
      <c r="A18" s="153" t="s">
        <v>400</v>
      </c>
      <c r="B18" s="153" t="s">
        <v>401</v>
      </c>
      <c r="C18" s="153" t="s">
        <v>392</v>
      </c>
      <c r="D18" s="154" t="s">
        <v>402</v>
      </c>
      <c r="E18" s="154" t="s">
        <v>403</v>
      </c>
      <c r="F18" s="154" t="s">
        <v>404</v>
      </c>
      <c r="G18" s="154" t="s">
        <v>405</v>
      </c>
      <c r="H18" s="154" t="s">
        <v>406</v>
      </c>
      <c r="I18" s="154" t="s">
        <v>407</v>
      </c>
      <c r="J18" s="154" t="s">
        <v>408</v>
      </c>
      <c r="K18" s="153">
        <v>12945</v>
      </c>
      <c r="L18" s="153" t="s">
        <v>246</v>
      </c>
      <c r="M18" s="153" t="s">
        <v>412</v>
      </c>
      <c r="N18" s="153">
        <v>0.91</v>
      </c>
      <c r="O18" s="153">
        <v>1.42</v>
      </c>
      <c r="P18" s="153">
        <v>1.18</v>
      </c>
      <c r="Q18" s="153">
        <v>1.19</v>
      </c>
      <c r="R18" s="153">
        <v>0.48</v>
      </c>
      <c r="S18" s="153">
        <v>0.72</v>
      </c>
      <c r="T18" s="153">
        <v>0.62</v>
      </c>
    </row>
    <row r="19" spans="1:20" ht="75" customHeight="1" x14ac:dyDescent="0.25">
      <c r="A19" s="153" t="s">
        <v>400</v>
      </c>
      <c r="B19" s="153" t="s">
        <v>401</v>
      </c>
      <c r="C19" s="153" t="s">
        <v>392</v>
      </c>
      <c r="D19" s="154" t="s">
        <v>402</v>
      </c>
      <c r="E19" s="154" t="s">
        <v>403</v>
      </c>
      <c r="F19" s="154" t="s">
        <v>404</v>
      </c>
      <c r="G19" s="154" t="s">
        <v>405</v>
      </c>
      <c r="H19" s="154" t="s">
        <v>406</v>
      </c>
      <c r="I19" s="154" t="s">
        <v>407</v>
      </c>
      <c r="J19" s="154" t="s">
        <v>408</v>
      </c>
      <c r="K19" s="153">
        <v>37378</v>
      </c>
      <c r="L19" s="153" t="s">
        <v>93</v>
      </c>
      <c r="M19" s="153" t="s">
        <v>321</v>
      </c>
      <c r="N19" s="153">
        <v>0.02</v>
      </c>
      <c r="O19" s="153">
        <v>0.02</v>
      </c>
      <c r="P19" s="153">
        <v>0.03</v>
      </c>
      <c r="Q19" s="153">
        <v>0.02</v>
      </c>
      <c r="R19" s="153">
        <v>0.01</v>
      </c>
      <c r="S19" s="153">
        <v>0</v>
      </c>
      <c r="T19" s="153">
        <v>0.01</v>
      </c>
    </row>
    <row r="20" spans="1:20" ht="75" customHeight="1" x14ac:dyDescent="0.25">
      <c r="A20" s="153" t="s">
        <v>400</v>
      </c>
      <c r="B20" s="153" t="s">
        <v>401</v>
      </c>
      <c r="C20" s="153" t="s">
        <v>392</v>
      </c>
      <c r="D20" s="154" t="s">
        <v>402</v>
      </c>
      <c r="E20" s="154" t="s">
        <v>403</v>
      </c>
      <c r="F20" s="154" t="s">
        <v>404</v>
      </c>
      <c r="G20" s="154" t="s">
        <v>405</v>
      </c>
      <c r="H20" s="154" t="s">
        <v>406</v>
      </c>
      <c r="I20" s="154" t="s">
        <v>407</v>
      </c>
      <c r="J20" s="154" t="s">
        <v>408</v>
      </c>
      <c r="K20" s="153">
        <v>37856</v>
      </c>
      <c r="L20" s="153" t="s">
        <v>95</v>
      </c>
      <c r="M20" s="153" t="s">
        <v>321</v>
      </c>
      <c r="N20" s="153">
        <v>7.0000000000000007E-2</v>
      </c>
      <c r="O20" s="153">
        <v>0.1</v>
      </c>
      <c r="P20" s="153">
        <v>0.09</v>
      </c>
      <c r="Q20" s="153">
        <v>0.08</v>
      </c>
      <c r="R20" s="153">
        <v>0.04</v>
      </c>
      <c r="S20" s="153">
        <v>0.05</v>
      </c>
      <c r="T20" s="153">
        <v>0.05</v>
      </c>
    </row>
    <row r="21" spans="1:20" ht="75" customHeight="1" x14ac:dyDescent="0.25">
      <c r="A21" s="153" t="s">
        <v>400</v>
      </c>
      <c r="B21" s="153" t="s">
        <v>401</v>
      </c>
      <c r="C21" s="153" t="s">
        <v>392</v>
      </c>
      <c r="D21" s="154" t="s">
        <v>402</v>
      </c>
      <c r="E21" s="154" t="s">
        <v>403</v>
      </c>
      <c r="F21" s="154" t="s">
        <v>404</v>
      </c>
      <c r="G21" s="154" t="s">
        <v>405</v>
      </c>
      <c r="H21" s="154" t="s">
        <v>406</v>
      </c>
      <c r="I21" s="154" t="s">
        <v>407</v>
      </c>
      <c r="J21" s="154" t="s">
        <v>408</v>
      </c>
      <c r="K21" s="153">
        <v>37854</v>
      </c>
      <c r="L21" s="153" t="s">
        <v>97</v>
      </c>
      <c r="M21" s="153" t="s">
        <v>321</v>
      </c>
      <c r="N21" s="153">
        <v>0.11</v>
      </c>
      <c r="O21" s="153">
        <v>0.15</v>
      </c>
      <c r="P21" s="153">
        <v>0.13</v>
      </c>
      <c r="Q21" s="153">
        <v>0.13</v>
      </c>
      <c r="R21" s="153">
        <v>7.0000000000000007E-2</v>
      </c>
      <c r="S21" s="153">
        <v>7.0000000000000007E-2</v>
      </c>
      <c r="T21" s="153">
        <v>0.08</v>
      </c>
    </row>
    <row r="22" spans="1:20" ht="75" customHeight="1" x14ac:dyDescent="0.25">
      <c r="A22" s="153" t="s">
        <v>400</v>
      </c>
      <c r="B22" s="153" t="s">
        <v>401</v>
      </c>
      <c r="C22" s="153" t="s">
        <v>392</v>
      </c>
      <c r="D22" s="154" t="s">
        <v>402</v>
      </c>
      <c r="E22" s="154" t="s">
        <v>403</v>
      </c>
      <c r="F22" s="154" t="s">
        <v>404</v>
      </c>
      <c r="G22" s="154" t="s">
        <v>405</v>
      </c>
      <c r="H22" s="154" t="s">
        <v>406</v>
      </c>
      <c r="I22" s="154" t="s">
        <v>407</v>
      </c>
      <c r="J22" s="154" t="s">
        <v>408</v>
      </c>
      <c r="K22" s="153">
        <v>11172</v>
      </c>
      <c r="L22" s="153" t="s">
        <v>99</v>
      </c>
      <c r="M22" s="153" t="s">
        <v>413</v>
      </c>
      <c r="N22" s="153">
        <v>0.06</v>
      </c>
      <c r="O22" s="153">
        <v>0.1</v>
      </c>
      <c r="P22" s="153">
        <v>0.09</v>
      </c>
      <c r="Q22" s="153">
        <v>7.0000000000000007E-2</v>
      </c>
      <c r="R22" s="153">
        <v>0.01</v>
      </c>
      <c r="S22" s="153">
        <v>0.03</v>
      </c>
      <c r="T22" s="153">
        <v>0.06</v>
      </c>
    </row>
    <row r="23" spans="1:20" ht="75" customHeight="1" x14ac:dyDescent="0.25">
      <c r="A23" s="153" t="s">
        <v>400</v>
      </c>
      <c r="B23" s="153" t="s">
        <v>401</v>
      </c>
      <c r="C23" s="153" t="s">
        <v>392</v>
      </c>
      <c r="D23" s="154" t="s">
        <v>402</v>
      </c>
      <c r="E23" s="154" t="s">
        <v>403</v>
      </c>
      <c r="F23" s="154" t="s">
        <v>404</v>
      </c>
      <c r="G23" s="154" t="s">
        <v>405</v>
      </c>
      <c r="H23" s="154" t="s">
        <v>406</v>
      </c>
      <c r="I23" s="154" t="s">
        <v>407</v>
      </c>
      <c r="J23" s="154" t="s">
        <v>408</v>
      </c>
      <c r="K23" s="153">
        <v>39744</v>
      </c>
      <c r="L23" s="153" t="s">
        <v>122</v>
      </c>
      <c r="M23" s="153" t="s">
        <v>321</v>
      </c>
      <c r="N23" s="153">
        <v>0.12</v>
      </c>
      <c r="O23" s="153">
        <v>0.22</v>
      </c>
      <c r="P23" s="153">
        <v>0.21</v>
      </c>
      <c r="Q23" s="153">
        <v>0.22</v>
      </c>
      <c r="R23" s="153">
        <v>0.1</v>
      </c>
      <c r="S23" s="153">
        <v>0.12</v>
      </c>
      <c r="T23" s="153">
        <v>0.14000000000000001</v>
      </c>
    </row>
    <row r="24" spans="1:20" ht="75" customHeight="1" x14ac:dyDescent="0.25">
      <c r="A24" s="153" t="s">
        <v>400</v>
      </c>
      <c r="B24" s="153" t="s">
        <v>401</v>
      </c>
      <c r="C24" s="153" t="s">
        <v>392</v>
      </c>
      <c r="D24" s="154" t="s">
        <v>402</v>
      </c>
      <c r="E24" s="154" t="s">
        <v>403</v>
      </c>
      <c r="F24" s="154" t="s">
        <v>404</v>
      </c>
      <c r="G24" s="154" t="s">
        <v>405</v>
      </c>
      <c r="H24" s="154" t="s">
        <v>406</v>
      </c>
      <c r="I24" s="154" t="s">
        <v>407</v>
      </c>
      <c r="J24" s="154" t="s">
        <v>408</v>
      </c>
      <c r="K24" s="153">
        <v>16520</v>
      </c>
      <c r="L24" s="153" t="s">
        <v>259</v>
      </c>
      <c r="M24" s="153" t="s">
        <v>372</v>
      </c>
      <c r="N24" s="153">
        <v>0.08</v>
      </c>
      <c r="O24" s="153">
        <v>0.04</v>
      </c>
      <c r="P24" s="153">
        <v>0.04</v>
      </c>
      <c r="Q24" s="153">
        <v>0.04</v>
      </c>
      <c r="R24" s="153">
        <v>0</v>
      </c>
      <c r="S24" s="153">
        <v>0.04</v>
      </c>
      <c r="T24" s="153">
        <v>0</v>
      </c>
    </row>
    <row r="25" spans="1:20" ht="75" customHeight="1" x14ac:dyDescent="0.25">
      <c r="A25" s="153" t="s">
        <v>400</v>
      </c>
      <c r="B25" s="153" t="s">
        <v>401</v>
      </c>
      <c r="C25" s="153" t="s">
        <v>392</v>
      </c>
      <c r="D25" s="154" t="s">
        <v>402</v>
      </c>
      <c r="E25" s="154" t="s">
        <v>403</v>
      </c>
      <c r="F25" s="154" t="s">
        <v>404</v>
      </c>
      <c r="G25" s="154" t="s">
        <v>405</v>
      </c>
      <c r="H25" s="154" t="s">
        <v>406</v>
      </c>
      <c r="I25" s="154" t="s">
        <v>407</v>
      </c>
      <c r="J25" s="154" t="s">
        <v>408</v>
      </c>
      <c r="K25" s="153">
        <v>12153</v>
      </c>
      <c r="L25" s="153" t="s">
        <v>245</v>
      </c>
      <c r="M25" s="153" t="s">
        <v>370</v>
      </c>
      <c r="N25" s="153">
        <v>0.03</v>
      </c>
      <c r="O25" s="153">
        <v>7.0000000000000007E-2</v>
      </c>
      <c r="P25" s="153">
        <v>0.02</v>
      </c>
      <c r="Q25" s="153">
        <v>0.06</v>
      </c>
      <c r="R25" s="153">
        <v>0.03</v>
      </c>
      <c r="S25" s="153">
        <v>0.01</v>
      </c>
      <c r="T25" s="153">
        <v>0.04</v>
      </c>
    </row>
    <row r="26" spans="1:20" ht="75" customHeight="1" x14ac:dyDescent="0.25">
      <c r="A26" s="153" t="s">
        <v>400</v>
      </c>
      <c r="B26" s="153" t="s">
        <v>401</v>
      </c>
      <c r="C26" s="153" t="s">
        <v>392</v>
      </c>
      <c r="D26" s="154" t="s">
        <v>402</v>
      </c>
      <c r="E26" s="154" t="s">
        <v>403</v>
      </c>
      <c r="F26" s="154" t="s">
        <v>404</v>
      </c>
      <c r="G26" s="154" t="s">
        <v>405</v>
      </c>
      <c r="H26" s="154" t="s">
        <v>406</v>
      </c>
      <c r="I26" s="154" t="s">
        <v>407</v>
      </c>
      <c r="J26" s="154" t="s">
        <v>408</v>
      </c>
      <c r="K26" s="153">
        <v>14602</v>
      </c>
      <c r="L26" s="153" t="s">
        <v>250</v>
      </c>
      <c r="M26" s="153" t="s">
        <v>369</v>
      </c>
      <c r="N26" s="153">
        <v>0.1</v>
      </c>
      <c r="O26" s="153">
        <v>0.03</v>
      </c>
      <c r="P26" s="153">
        <v>7.0000000000000007E-2</v>
      </c>
      <c r="Q26" s="153">
        <v>0.2</v>
      </c>
      <c r="R26" s="153">
        <v>0.13</v>
      </c>
      <c r="S26" s="153">
        <v>0.1</v>
      </c>
      <c r="T26" s="153">
        <v>0.1</v>
      </c>
    </row>
    <row r="27" spans="1:20" ht="75" customHeight="1" x14ac:dyDescent="0.25">
      <c r="A27" s="153" t="s">
        <v>400</v>
      </c>
      <c r="B27" s="153" t="s">
        <v>401</v>
      </c>
      <c r="C27" s="153" t="s">
        <v>392</v>
      </c>
      <c r="D27" s="154" t="s">
        <v>402</v>
      </c>
      <c r="E27" s="154" t="s">
        <v>403</v>
      </c>
      <c r="F27" s="154" t="s">
        <v>404</v>
      </c>
      <c r="G27" s="154" t="s">
        <v>405</v>
      </c>
      <c r="H27" s="154" t="s">
        <v>406</v>
      </c>
      <c r="I27" s="154" t="s">
        <v>407</v>
      </c>
      <c r="J27" s="154" t="s">
        <v>408</v>
      </c>
      <c r="K27" s="153">
        <v>38239</v>
      </c>
      <c r="L27" s="153" t="s">
        <v>282</v>
      </c>
      <c r="M27" s="153" t="s">
        <v>228</v>
      </c>
      <c r="N27" s="153">
        <v>2</v>
      </c>
      <c r="O27" s="153">
        <v>2</v>
      </c>
      <c r="P27" s="153">
        <v>0</v>
      </c>
      <c r="Q27" s="153">
        <v>3</v>
      </c>
      <c r="R27" s="153">
        <v>0</v>
      </c>
      <c r="S27" s="153">
        <v>0</v>
      </c>
      <c r="T27" s="153">
        <v>1</v>
      </c>
    </row>
    <row r="28" spans="1:20" ht="75" customHeight="1" x14ac:dyDescent="0.25">
      <c r="A28" s="153" t="s">
        <v>400</v>
      </c>
      <c r="B28" s="153" t="s">
        <v>401</v>
      </c>
      <c r="C28" s="153" t="s">
        <v>392</v>
      </c>
      <c r="D28" s="154" t="s">
        <v>402</v>
      </c>
      <c r="E28" s="154" t="s">
        <v>403</v>
      </c>
      <c r="F28" s="154" t="s">
        <v>404</v>
      </c>
      <c r="G28" s="154" t="s">
        <v>405</v>
      </c>
      <c r="H28" s="154" t="s">
        <v>406</v>
      </c>
      <c r="I28" s="154" t="s">
        <v>407</v>
      </c>
      <c r="J28" s="154" t="s">
        <v>408</v>
      </c>
      <c r="K28" s="153">
        <v>36224</v>
      </c>
      <c r="L28" s="153" t="s">
        <v>268</v>
      </c>
      <c r="M28" s="153" t="s">
        <v>379</v>
      </c>
      <c r="N28" s="153">
        <v>0.03</v>
      </c>
      <c r="O28" s="153">
        <v>0.01</v>
      </c>
      <c r="P28" s="153">
        <v>0.03</v>
      </c>
      <c r="Q28" s="153">
        <v>0.03</v>
      </c>
      <c r="R28" s="153">
        <v>0.01</v>
      </c>
      <c r="S28" s="153">
        <v>0.01</v>
      </c>
      <c r="T28" s="153">
        <v>0.02</v>
      </c>
    </row>
    <row r="29" spans="1:20" ht="75" customHeight="1" x14ac:dyDescent="0.25">
      <c r="A29" s="153" t="s">
        <v>400</v>
      </c>
      <c r="B29" s="153" t="s">
        <v>401</v>
      </c>
      <c r="C29" s="153" t="s">
        <v>392</v>
      </c>
      <c r="D29" s="154" t="s">
        <v>402</v>
      </c>
      <c r="E29" s="154" t="s">
        <v>403</v>
      </c>
      <c r="F29" s="154" t="s">
        <v>404</v>
      </c>
      <c r="G29" s="154" t="s">
        <v>405</v>
      </c>
      <c r="H29" s="154" t="s">
        <v>406</v>
      </c>
      <c r="I29" s="154" t="s">
        <v>407</v>
      </c>
      <c r="J29" s="154" t="s">
        <v>408</v>
      </c>
      <c r="K29" s="153">
        <v>36128</v>
      </c>
      <c r="L29" s="153" t="s">
        <v>267</v>
      </c>
      <c r="M29" s="153" t="s">
        <v>379</v>
      </c>
      <c r="N29" s="153">
        <v>0.05</v>
      </c>
      <c r="O29" s="153">
        <v>0.05</v>
      </c>
      <c r="P29" s="153">
        <v>0.08</v>
      </c>
      <c r="Q29" s="153">
        <v>0.04</v>
      </c>
      <c r="R29" s="153">
        <v>0.03</v>
      </c>
      <c r="S29" s="153">
        <v>0.01</v>
      </c>
      <c r="T29" s="153">
        <v>0.04</v>
      </c>
    </row>
    <row r="30" spans="1:20" ht="75" customHeight="1" x14ac:dyDescent="0.25">
      <c r="A30" s="153" t="s">
        <v>400</v>
      </c>
      <c r="B30" s="153" t="s">
        <v>401</v>
      </c>
      <c r="C30" s="153" t="s">
        <v>392</v>
      </c>
      <c r="D30" s="154" t="s">
        <v>402</v>
      </c>
      <c r="E30" s="154" t="s">
        <v>403</v>
      </c>
      <c r="F30" s="154" t="s">
        <v>404</v>
      </c>
      <c r="G30" s="154" t="s">
        <v>405</v>
      </c>
      <c r="H30" s="154" t="s">
        <v>406</v>
      </c>
      <c r="I30" s="154" t="s">
        <v>407</v>
      </c>
      <c r="J30" s="154" t="s">
        <v>408</v>
      </c>
      <c r="K30" s="153">
        <v>38531</v>
      </c>
      <c r="L30" s="153" t="s">
        <v>287</v>
      </c>
      <c r="M30" s="153" t="s">
        <v>379</v>
      </c>
      <c r="N30" s="153">
        <v>0.03</v>
      </c>
      <c r="O30" s="153">
        <v>0.04</v>
      </c>
      <c r="P30" s="153">
        <v>0.05</v>
      </c>
      <c r="Q30" s="153">
        <v>0.06</v>
      </c>
      <c r="R30" s="153">
        <v>0.01</v>
      </c>
      <c r="S30" s="153">
        <v>0.01</v>
      </c>
      <c r="T30" s="153">
        <v>0.01</v>
      </c>
    </row>
    <row r="31" spans="1:20" ht="75" customHeight="1" x14ac:dyDescent="0.25">
      <c r="A31" s="153" t="s">
        <v>400</v>
      </c>
      <c r="B31" s="153" t="s">
        <v>401</v>
      </c>
      <c r="C31" s="153" t="s">
        <v>392</v>
      </c>
      <c r="D31" s="154" t="s">
        <v>402</v>
      </c>
      <c r="E31" s="154" t="s">
        <v>403</v>
      </c>
      <c r="F31" s="154" t="s">
        <v>404</v>
      </c>
      <c r="G31" s="154" t="s">
        <v>405</v>
      </c>
      <c r="H31" s="154" t="s">
        <v>406</v>
      </c>
      <c r="I31" s="154" t="s">
        <v>407</v>
      </c>
      <c r="J31" s="154" t="s">
        <v>408</v>
      </c>
      <c r="K31" s="153">
        <v>100399</v>
      </c>
      <c r="L31" s="153" t="s">
        <v>229</v>
      </c>
      <c r="M31" s="153" t="s">
        <v>414</v>
      </c>
      <c r="N31" s="153">
        <v>0.11</v>
      </c>
      <c r="O31" s="153">
        <v>0</v>
      </c>
      <c r="P31" s="153">
        <v>0</v>
      </c>
      <c r="Q31" s="153">
        <v>0.06</v>
      </c>
      <c r="R31" s="153">
        <v>0.06</v>
      </c>
      <c r="S31" s="153">
        <v>0</v>
      </c>
      <c r="T31" s="153">
        <v>0</v>
      </c>
    </row>
    <row r="32" spans="1:20" ht="75" customHeight="1" x14ac:dyDescent="0.25">
      <c r="A32" s="153" t="s">
        <v>400</v>
      </c>
      <c r="B32" s="153" t="s">
        <v>401</v>
      </c>
      <c r="C32" s="153" t="s">
        <v>392</v>
      </c>
      <c r="D32" s="154" t="s">
        <v>402</v>
      </c>
      <c r="E32" s="154" t="s">
        <v>403</v>
      </c>
      <c r="F32" s="154" t="s">
        <v>404</v>
      </c>
      <c r="G32" s="154" t="s">
        <v>405</v>
      </c>
      <c r="H32" s="154" t="s">
        <v>406</v>
      </c>
      <c r="I32" s="154" t="s">
        <v>407</v>
      </c>
      <c r="J32" s="154" t="s">
        <v>408</v>
      </c>
      <c r="K32" s="153">
        <v>100400</v>
      </c>
      <c r="L32" s="153" t="s">
        <v>230</v>
      </c>
      <c r="M32" s="153" t="s">
        <v>372</v>
      </c>
      <c r="N32" s="153">
        <v>0.13</v>
      </c>
      <c r="O32" s="153">
        <v>0.21</v>
      </c>
      <c r="P32" s="153">
        <v>0.13</v>
      </c>
      <c r="Q32" s="153">
        <v>0</v>
      </c>
      <c r="R32" s="153">
        <v>0.04</v>
      </c>
      <c r="S32" s="153">
        <v>0.08</v>
      </c>
      <c r="T32" s="153">
        <v>0.04</v>
      </c>
    </row>
    <row r="33" spans="1:20" ht="75" customHeight="1" x14ac:dyDescent="0.25">
      <c r="A33" s="153" t="s">
        <v>400</v>
      </c>
      <c r="B33" s="153" t="s">
        <v>401</v>
      </c>
      <c r="C33" s="153" t="s">
        <v>392</v>
      </c>
      <c r="D33" s="154" t="s">
        <v>402</v>
      </c>
      <c r="E33" s="154" t="s">
        <v>403</v>
      </c>
      <c r="F33" s="154" t="s">
        <v>404</v>
      </c>
      <c r="G33" s="154" t="s">
        <v>405</v>
      </c>
      <c r="H33" s="154" t="s">
        <v>406</v>
      </c>
      <c r="I33" s="154" t="s">
        <v>407</v>
      </c>
      <c r="J33" s="154" t="s">
        <v>408</v>
      </c>
      <c r="K33" s="153">
        <v>100401</v>
      </c>
      <c r="L33" s="153" t="s">
        <v>231</v>
      </c>
      <c r="M33" s="153" t="s">
        <v>372</v>
      </c>
      <c r="N33" s="153">
        <v>0</v>
      </c>
      <c r="O33" s="153">
        <v>0.08</v>
      </c>
      <c r="P33" s="153">
        <v>0.04</v>
      </c>
      <c r="Q33" s="153">
        <v>0</v>
      </c>
      <c r="R33" s="153">
        <v>0</v>
      </c>
      <c r="S33" s="153">
        <v>0</v>
      </c>
      <c r="T33" s="153">
        <v>0</v>
      </c>
    </row>
    <row r="34" spans="1:20" ht="75" customHeight="1" x14ac:dyDescent="0.25">
      <c r="A34" s="153" t="s">
        <v>400</v>
      </c>
      <c r="B34" s="153" t="s">
        <v>401</v>
      </c>
      <c r="C34" s="153" t="s">
        <v>392</v>
      </c>
      <c r="D34" s="154" t="s">
        <v>402</v>
      </c>
      <c r="E34" s="154" t="s">
        <v>403</v>
      </c>
      <c r="F34" s="154" t="s">
        <v>404</v>
      </c>
      <c r="G34" s="154" t="s">
        <v>405</v>
      </c>
      <c r="H34" s="154" t="s">
        <v>406</v>
      </c>
      <c r="I34" s="154" t="s">
        <v>407</v>
      </c>
      <c r="J34" s="154" t="s">
        <v>408</v>
      </c>
      <c r="K34" s="153">
        <v>38704</v>
      </c>
      <c r="L34" s="153" t="s">
        <v>289</v>
      </c>
      <c r="M34" s="153" t="s">
        <v>372</v>
      </c>
      <c r="N34" s="153">
        <v>0</v>
      </c>
      <c r="O34" s="153">
        <v>0.04</v>
      </c>
      <c r="P34" s="153">
        <v>0.04</v>
      </c>
      <c r="Q34" s="153">
        <v>0.13</v>
      </c>
      <c r="R34" s="153">
        <v>0</v>
      </c>
      <c r="S34" s="153">
        <v>0</v>
      </c>
      <c r="T34" s="153">
        <v>0.08</v>
      </c>
    </row>
    <row r="35" spans="1:20" ht="75" customHeight="1" x14ac:dyDescent="0.25">
      <c r="A35" s="153" t="s">
        <v>400</v>
      </c>
      <c r="B35" s="153" t="s">
        <v>401</v>
      </c>
      <c r="C35" s="153" t="s">
        <v>392</v>
      </c>
      <c r="D35" s="154" t="s">
        <v>402</v>
      </c>
      <c r="E35" s="154" t="s">
        <v>403</v>
      </c>
      <c r="F35" s="154" t="s">
        <v>404</v>
      </c>
      <c r="G35" s="154" t="s">
        <v>405</v>
      </c>
      <c r="H35" s="154" t="s">
        <v>406</v>
      </c>
      <c r="I35" s="154" t="s">
        <v>407</v>
      </c>
      <c r="J35" s="154" t="s">
        <v>408</v>
      </c>
      <c r="K35" s="153">
        <v>38705</v>
      </c>
      <c r="L35" s="153" t="s">
        <v>290</v>
      </c>
      <c r="M35" s="153" t="s">
        <v>372</v>
      </c>
      <c r="N35" s="153">
        <v>0.08</v>
      </c>
      <c r="O35" s="153">
        <v>0.13</v>
      </c>
      <c r="P35" s="153">
        <v>0.17</v>
      </c>
      <c r="Q35" s="153">
        <v>0.08</v>
      </c>
      <c r="R35" s="153">
        <v>0</v>
      </c>
      <c r="S35" s="153">
        <v>0.17</v>
      </c>
      <c r="T35" s="153">
        <v>0.17</v>
      </c>
    </row>
    <row r="36" spans="1:20" ht="75" customHeight="1" x14ac:dyDescent="0.25">
      <c r="A36" s="153" t="s">
        <v>400</v>
      </c>
      <c r="B36" s="153" t="s">
        <v>401</v>
      </c>
      <c r="C36" s="153" t="s">
        <v>392</v>
      </c>
      <c r="D36" s="154" t="s">
        <v>402</v>
      </c>
      <c r="E36" s="154" t="s">
        <v>403</v>
      </c>
      <c r="F36" s="154" t="s">
        <v>404</v>
      </c>
      <c r="G36" s="154" t="s">
        <v>405</v>
      </c>
      <c r="H36" s="154" t="s">
        <v>406</v>
      </c>
      <c r="I36" s="154" t="s">
        <v>407</v>
      </c>
      <c r="J36" s="154" t="s">
        <v>408</v>
      </c>
      <c r="K36" s="153">
        <v>16521</v>
      </c>
      <c r="L36" s="153" t="s">
        <v>260</v>
      </c>
      <c r="M36" s="153" t="s">
        <v>372</v>
      </c>
      <c r="N36" s="153">
        <v>0.08</v>
      </c>
      <c r="O36" s="153">
        <v>0.28999999999999998</v>
      </c>
      <c r="P36" s="153">
        <v>0.08</v>
      </c>
      <c r="Q36" s="153">
        <v>0.38</v>
      </c>
      <c r="R36" s="153">
        <v>0.04</v>
      </c>
      <c r="S36" s="153">
        <v>0.08</v>
      </c>
      <c r="T36" s="153">
        <v>0.13</v>
      </c>
    </row>
    <row r="37" spans="1:20" ht="75" customHeight="1" x14ac:dyDescent="0.25">
      <c r="A37" s="153" t="s">
        <v>400</v>
      </c>
      <c r="B37" s="153" t="s">
        <v>401</v>
      </c>
      <c r="C37" s="153" t="s">
        <v>392</v>
      </c>
      <c r="D37" s="154" t="s">
        <v>402</v>
      </c>
      <c r="E37" s="154" t="s">
        <v>403</v>
      </c>
      <c r="F37" s="154" t="s">
        <v>404</v>
      </c>
      <c r="G37" s="154" t="s">
        <v>405</v>
      </c>
      <c r="H37" s="154" t="s">
        <v>406</v>
      </c>
      <c r="I37" s="154" t="s">
        <v>407</v>
      </c>
      <c r="J37" s="154" t="s">
        <v>408</v>
      </c>
      <c r="K37" s="153">
        <v>14606</v>
      </c>
      <c r="L37" s="153" t="s">
        <v>252</v>
      </c>
      <c r="M37" s="153" t="s">
        <v>370</v>
      </c>
      <c r="N37" s="153">
        <v>0.09</v>
      </c>
      <c r="O37" s="153">
        <v>0.12</v>
      </c>
      <c r="P37" s="153">
        <v>0.06</v>
      </c>
      <c r="Q37" s="153">
        <v>7.0000000000000007E-2</v>
      </c>
      <c r="R37" s="153">
        <v>0.03</v>
      </c>
      <c r="S37" s="153">
        <v>0.04</v>
      </c>
      <c r="T37" s="153">
        <v>0.05</v>
      </c>
    </row>
    <row r="38" spans="1:20" ht="75" customHeight="1" x14ac:dyDescent="0.25">
      <c r="A38" s="153" t="s">
        <v>400</v>
      </c>
      <c r="B38" s="153" t="s">
        <v>401</v>
      </c>
      <c r="C38" s="153" t="s">
        <v>392</v>
      </c>
      <c r="D38" s="154" t="s">
        <v>402</v>
      </c>
      <c r="E38" s="154" t="s">
        <v>403</v>
      </c>
      <c r="F38" s="154" t="s">
        <v>404</v>
      </c>
      <c r="G38" s="154" t="s">
        <v>405</v>
      </c>
      <c r="H38" s="154" t="s">
        <v>406</v>
      </c>
      <c r="I38" s="154" t="s">
        <v>407</v>
      </c>
      <c r="J38" s="154" t="s">
        <v>408</v>
      </c>
      <c r="K38" s="153">
        <v>14603</v>
      </c>
      <c r="L38" s="153" t="s">
        <v>251</v>
      </c>
      <c r="M38" s="153" t="s">
        <v>369</v>
      </c>
      <c r="N38" s="153">
        <v>7.0000000000000007E-2</v>
      </c>
      <c r="O38" s="153">
        <v>7.0000000000000007E-2</v>
      </c>
      <c r="P38" s="153">
        <v>7.0000000000000007E-2</v>
      </c>
      <c r="Q38" s="153">
        <v>7.0000000000000007E-2</v>
      </c>
      <c r="R38" s="153">
        <v>0</v>
      </c>
      <c r="S38" s="153">
        <v>0.13</v>
      </c>
      <c r="T38" s="153">
        <v>0.03</v>
      </c>
    </row>
    <row r="39" spans="1:20" ht="75" customHeight="1" x14ac:dyDescent="0.25">
      <c r="A39" s="153" t="s">
        <v>400</v>
      </c>
      <c r="B39" s="153" t="s">
        <v>401</v>
      </c>
      <c r="C39" s="153" t="s">
        <v>392</v>
      </c>
      <c r="D39" s="154" t="s">
        <v>402</v>
      </c>
      <c r="E39" s="154" t="s">
        <v>403</v>
      </c>
      <c r="F39" s="154" t="s">
        <v>404</v>
      </c>
      <c r="G39" s="154" t="s">
        <v>405</v>
      </c>
      <c r="H39" s="154" t="s">
        <v>406</v>
      </c>
      <c r="I39" s="154" t="s">
        <v>407</v>
      </c>
      <c r="J39" s="154" t="s">
        <v>408</v>
      </c>
      <c r="K39" s="153">
        <v>14648</v>
      </c>
      <c r="L39" s="153" t="s">
        <v>253</v>
      </c>
      <c r="M39" s="153" t="s">
        <v>372</v>
      </c>
      <c r="N39" s="153">
        <v>0</v>
      </c>
      <c r="O39" s="153">
        <v>0.17</v>
      </c>
      <c r="P39" s="153">
        <v>0</v>
      </c>
      <c r="Q39" s="153">
        <v>0.08</v>
      </c>
      <c r="R39" s="153">
        <v>0.04</v>
      </c>
      <c r="S39" s="153">
        <v>0.04</v>
      </c>
      <c r="T39" s="153">
        <v>0.04</v>
      </c>
    </row>
    <row r="40" spans="1:20" ht="75" customHeight="1" x14ac:dyDescent="0.25">
      <c r="A40" s="153" t="s">
        <v>400</v>
      </c>
      <c r="B40" s="153" t="s">
        <v>401</v>
      </c>
      <c r="C40" s="153" t="s">
        <v>392</v>
      </c>
      <c r="D40" s="154" t="s">
        <v>402</v>
      </c>
      <c r="E40" s="154" t="s">
        <v>403</v>
      </c>
      <c r="F40" s="154" t="s">
        <v>404</v>
      </c>
      <c r="G40" s="154" t="s">
        <v>405</v>
      </c>
      <c r="H40" s="154" t="s">
        <v>406</v>
      </c>
      <c r="I40" s="154" t="s">
        <v>407</v>
      </c>
      <c r="J40" s="154" t="s">
        <v>408</v>
      </c>
      <c r="K40" s="153">
        <v>12150</v>
      </c>
      <c r="L40" s="153" t="s">
        <v>243</v>
      </c>
      <c r="M40" s="153" t="s">
        <v>369</v>
      </c>
      <c r="N40" s="153">
        <v>0.13</v>
      </c>
      <c r="O40" s="153">
        <v>7.0000000000000007E-2</v>
      </c>
      <c r="P40" s="153">
        <v>0.03</v>
      </c>
      <c r="Q40" s="153">
        <v>7.0000000000000007E-2</v>
      </c>
      <c r="R40" s="153">
        <v>0.03</v>
      </c>
      <c r="S40" s="153">
        <v>7.0000000000000007E-2</v>
      </c>
      <c r="T40" s="153">
        <v>7.0000000000000007E-2</v>
      </c>
    </row>
    <row r="41" spans="1:20" ht="75" customHeight="1" x14ac:dyDescent="0.25">
      <c r="A41" s="153" t="s">
        <v>400</v>
      </c>
      <c r="B41" s="153" t="s">
        <v>401</v>
      </c>
      <c r="C41" s="153" t="s">
        <v>392</v>
      </c>
      <c r="D41" s="154" t="s">
        <v>402</v>
      </c>
      <c r="E41" s="154" t="s">
        <v>403</v>
      </c>
      <c r="F41" s="154" t="s">
        <v>404</v>
      </c>
      <c r="G41" s="154" t="s">
        <v>405</v>
      </c>
      <c r="H41" s="154" t="s">
        <v>406</v>
      </c>
      <c r="I41" s="154" t="s">
        <v>407</v>
      </c>
      <c r="J41" s="154" t="s">
        <v>408</v>
      </c>
      <c r="K41" s="153">
        <v>12128</v>
      </c>
      <c r="L41" s="153" t="s">
        <v>242</v>
      </c>
      <c r="M41" s="153" t="s">
        <v>372</v>
      </c>
      <c r="N41" s="153">
        <v>0.28999999999999998</v>
      </c>
      <c r="O41" s="153">
        <v>0.38</v>
      </c>
      <c r="P41" s="153">
        <v>0.25</v>
      </c>
      <c r="Q41" s="153">
        <v>0.25</v>
      </c>
      <c r="R41" s="153">
        <v>0.17</v>
      </c>
      <c r="S41" s="153">
        <v>0.25</v>
      </c>
      <c r="T41" s="153">
        <v>0.17</v>
      </c>
    </row>
    <row r="42" spans="1:20" ht="75" customHeight="1" x14ac:dyDescent="0.25">
      <c r="A42" s="153" t="s">
        <v>400</v>
      </c>
      <c r="B42" s="153" t="s">
        <v>401</v>
      </c>
      <c r="C42" s="153" t="s">
        <v>392</v>
      </c>
      <c r="D42" s="154" t="s">
        <v>402</v>
      </c>
      <c r="E42" s="154" t="s">
        <v>403</v>
      </c>
      <c r="F42" s="154" t="s">
        <v>404</v>
      </c>
      <c r="G42" s="154" t="s">
        <v>405</v>
      </c>
      <c r="H42" s="154" t="s">
        <v>406</v>
      </c>
      <c r="I42" s="154" t="s">
        <v>407</v>
      </c>
      <c r="J42" s="154" t="s">
        <v>408</v>
      </c>
      <c r="K42" s="153">
        <v>16235</v>
      </c>
      <c r="L42" s="153" t="s">
        <v>258</v>
      </c>
      <c r="M42" s="153" t="s">
        <v>379</v>
      </c>
      <c r="N42" s="153">
        <v>0.22</v>
      </c>
      <c r="O42" s="153">
        <v>0.45</v>
      </c>
      <c r="P42" s="153">
        <v>0.25</v>
      </c>
      <c r="Q42" s="153">
        <v>0.28999999999999998</v>
      </c>
      <c r="R42" s="153">
        <v>0.16</v>
      </c>
      <c r="S42" s="153">
        <v>0.21</v>
      </c>
      <c r="T42" s="153">
        <v>0.12</v>
      </c>
    </row>
    <row r="43" spans="1:20" ht="75" customHeight="1" x14ac:dyDescent="0.25">
      <c r="A43" s="153" t="s">
        <v>400</v>
      </c>
      <c r="B43" s="153" t="s">
        <v>401</v>
      </c>
      <c r="C43" s="153" t="s">
        <v>392</v>
      </c>
      <c r="D43" s="154" t="s">
        <v>402</v>
      </c>
      <c r="E43" s="154" t="s">
        <v>403</v>
      </c>
      <c r="F43" s="154" t="s">
        <v>404</v>
      </c>
      <c r="G43" s="154" t="s">
        <v>405</v>
      </c>
      <c r="H43" s="154" t="s">
        <v>406</v>
      </c>
      <c r="I43" s="154" t="s">
        <v>407</v>
      </c>
      <c r="J43" s="154" t="s">
        <v>408</v>
      </c>
      <c r="K43" s="153">
        <v>14601</v>
      </c>
      <c r="L43" s="153" t="s">
        <v>249</v>
      </c>
      <c r="M43" s="153" t="s">
        <v>369</v>
      </c>
      <c r="N43" s="153">
        <v>0.23</v>
      </c>
      <c r="O43" s="153">
        <v>0.47</v>
      </c>
      <c r="P43" s="153">
        <v>0.2</v>
      </c>
      <c r="Q43" s="153">
        <v>0.2</v>
      </c>
      <c r="R43" s="153">
        <v>0.23</v>
      </c>
      <c r="S43" s="153">
        <v>0.1</v>
      </c>
      <c r="T43" s="153">
        <v>0.13</v>
      </c>
    </row>
    <row r="44" spans="1:20" ht="75" customHeight="1" x14ac:dyDescent="0.25">
      <c r="A44" s="153" t="s">
        <v>400</v>
      </c>
      <c r="B44" s="153" t="s">
        <v>401</v>
      </c>
      <c r="C44" s="153" t="s">
        <v>392</v>
      </c>
      <c r="D44" s="154" t="s">
        <v>402</v>
      </c>
      <c r="E44" s="154" t="s">
        <v>403</v>
      </c>
      <c r="F44" s="154" t="s">
        <v>404</v>
      </c>
      <c r="G44" s="154" t="s">
        <v>405</v>
      </c>
      <c r="H44" s="154" t="s">
        <v>406</v>
      </c>
      <c r="I44" s="154" t="s">
        <v>407</v>
      </c>
      <c r="J44" s="154" t="s">
        <v>408</v>
      </c>
      <c r="K44" s="153">
        <v>12151</v>
      </c>
      <c r="L44" s="153" t="s">
        <v>244</v>
      </c>
      <c r="M44" s="153" t="s">
        <v>370</v>
      </c>
      <c r="N44" s="153">
        <v>0.55000000000000004</v>
      </c>
      <c r="O44" s="153">
        <v>0.64</v>
      </c>
      <c r="P44" s="153">
        <v>0.72</v>
      </c>
      <c r="Q44" s="153">
        <v>0.63</v>
      </c>
      <c r="R44" s="153">
        <v>0.28000000000000003</v>
      </c>
      <c r="S44" s="153">
        <v>0.37</v>
      </c>
      <c r="T44" s="153">
        <v>0.43</v>
      </c>
    </row>
    <row r="45" spans="1:20" ht="75" customHeight="1" x14ac:dyDescent="0.25">
      <c r="A45" s="153" t="s">
        <v>400</v>
      </c>
      <c r="B45" s="153" t="s">
        <v>401</v>
      </c>
      <c r="C45" s="153" t="s">
        <v>392</v>
      </c>
      <c r="D45" s="154" t="s">
        <v>402</v>
      </c>
      <c r="E45" s="154" t="s">
        <v>403</v>
      </c>
      <c r="F45" s="154" t="s">
        <v>404</v>
      </c>
      <c r="G45" s="154" t="s">
        <v>405</v>
      </c>
      <c r="H45" s="154" t="s">
        <v>406</v>
      </c>
      <c r="I45" s="154" t="s">
        <v>407</v>
      </c>
      <c r="J45" s="154" t="s">
        <v>408</v>
      </c>
      <c r="K45" s="153">
        <v>100403</v>
      </c>
      <c r="L45" s="153" t="s">
        <v>233</v>
      </c>
      <c r="M45" s="153" t="s">
        <v>372</v>
      </c>
      <c r="N45" s="153">
        <v>0.08</v>
      </c>
      <c r="O45" s="153">
        <v>0.21</v>
      </c>
      <c r="P45" s="153">
        <v>0.28999999999999998</v>
      </c>
      <c r="Q45" s="153">
        <v>0</v>
      </c>
      <c r="R45" s="153">
        <v>0.04</v>
      </c>
      <c r="S45" s="153">
        <v>0.04</v>
      </c>
      <c r="T45" s="153">
        <v>0</v>
      </c>
    </row>
    <row r="46" spans="1:20" ht="75" customHeight="1" x14ac:dyDescent="0.25">
      <c r="A46" s="153" t="s">
        <v>400</v>
      </c>
      <c r="B46" s="153" t="s">
        <v>401</v>
      </c>
      <c r="C46" s="153" t="s">
        <v>392</v>
      </c>
      <c r="D46" s="154" t="s">
        <v>402</v>
      </c>
      <c r="E46" s="154" t="s">
        <v>403</v>
      </c>
      <c r="F46" s="154" t="s">
        <v>404</v>
      </c>
      <c r="G46" s="154" t="s">
        <v>405</v>
      </c>
      <c r="H46" s="154" t="s">
        <v>406</v>
      </c>
      <c r="I46" s="154" t="s">
        <v>407</v>
      </c>
      <c r="J46" s="154" t="s">
        <v>408</v>
      </c>
      <c r="K46" s="153">
        <v>100404</v>
      </c>
      <c r="L46" s="153" t="s">
        <v>234</v>
      </c>
      <c r="M46" s="153" t="s">
        <v>372</v>
      </c>
      <c r="N46" s="153">
        <v>0</v>
      </c>
      <c r="O46" s="153">
        <v>0.04</v>
      </c>
      <c r="P46" s="153">
        <v>0.08</v>
      </c>
      <c r="Q46" s="153">
        <v>0</v>
      </c>
      <c r="R46" s="153">
        <v>0</v>
      </c>
      <c r="S46" s="153">
        <v>0</v>
      </c>
      <c r="T46" s="153">
        <v>0</v>
      </c>
    </row>
    <row r="47" spans="1:20" ht="75" customHeight="1" x14ac:dyDescent="0.25">
      <c r="A47" s="153" t="s">
        <v>400</v>
      </c>
      <c r="B47" s="153" t="s">
        <v>401</v>
      </c>
      <c r="C47" s="153" t="s">
        <v>392</v>
      </c>
      <c r="D47" s="154" t="s">
        <v>402</v>
      </c>
      <c r="E47" s="154" t="s">
        <v>403</v>
      </c>
      <c r="F47" s="154" t="s">
        <v>404</v>
      </c>
      <c r="G47" s="154" t="s">
        <v>405</v>
      </c>
      <c r="H47" s="154" t="s">
        <v>406</v>
      </c>
      <c r="I47" s="154" t="s">
        <v>407</v>
      </c>
      <c r="J47" s="154" t="s">
        <v>408</v>
      </c>
      <c r="K47" s="153">
        <v>100405</v>
      </c>
      <c r="L47" s="153" t="s">
        <v>235</v>
      </c>
      <c r="M47" s="153" t="s">
        <v>415</v>
      </c>
      <c r="N47" s="153">
        <v>0</v>
      </c>
      <c r="O47" s="153">
        <v>0</v>
      </c>
      <c r="P47" s="153">
        <v>0.17</v>
      </c>
      <c r="Q47" s="153">
        <v>0.17</v>
      </c>
      <c r="R47" s="153">
        <v>0.08</v>
      </c>
      <c r="S47" s="153">
        <v>0</v>
      </c>
      <c r="T47" s="153">
        <v>0</v>
      </c>
    </row>
    <row r="48" spans="1:20" ht="75" customHeight="1" x14ac:dyDescent="0.25">
      <c r="A48" s="153" t="s">
        <v>400</v>
      </c>
      <c r="B48" s="153" t="s">
        <v>401</v>
      </c>
      <c r="C48" s="153" t="s">
        <v>392</v>
      </c>
      <c r="D48" s="154" t="s">
        <v>402</v>
      </c>
      <c r="E48" s="154" t="s">
        <v>403</v>
      </c>
      <c r="F48" s="154" t="s">
        <v>404</v>
      </c>
      <c r="G48" s="154" t="s">
        <v>405</v>
      </c>
      <c r="H48" s="154" t="s">
        <v>406</v>
      </c>
      <c r="I48" s="154" t="s">
        <v>407</v>
      </c>
      <c r="J48" s="154" t="s">
        <v>408</v>
      </c>
      <c r="K48" s="153">
        <v>15735</v>
      </c>
      <c r="L48" s="153" t="s">
        <v>257</v>
      </c>
      <c r="M48" s="153" t="s">
        <v>369</v>
      </c>
      <c r="N48" s="153">
        <v>0.03</v>
      </c>
      <c r="O48" s="153">
        <v>0.23</v>
      </c>
      <c r="P48" s="153">
        <v>7.0000000000000007E-2</v>
      </c>
      <c r="Q48" s="153">
        <v>0.03</v>
      </c>
      <c r="R48" s="153">
        <v>0</v>
      </c>
      <c r="S48" s="153">
        <v>0.03</v>
      </c>
      <c r="T48" s="153">
        <v>7.0000000000000007E-2</v>
      </c>
    </row>
    <row r="49" spans="1:20" ht="75" customHeight="1" x14ac:dyDescent="0.25">
      <c r="A49" s="153" t="s">
        <v>400</v>
      </c>
      <c r="B49" s="153" t="s">
        <v>401</v>
      </c>
      <c r="C49" s="153" t="s">
        <v>392</v>
      </c>
      <c r="D49" s="154" t="s">
        <v>402</v>
      </c>
      <c r="E49" s="154" t="s">
        <v>403</v>
      </c>
      <c r="F49" s="154" t="s">
        <v>404</v>
      </c>
      <c r="G49" s="154" t="s">
        <v>405</v>
      </c>
      <c r="H49" s="154" t="s">
        <v>406</v>
      </c>
      <c r="I49" s="154" t="s">
        <v>407</v>
      </c>
      <c r="J49" s="154" t="s">
        <v>408</v>
      </c>
      <c r="K49" s="153">
        <v>16522</v>
      </c>
      <c r="L49" s="153" t="s">
        <v>261</v>
      </c>
      <c r="M49" s="153" t="s">
        <v>372</v>
      </c>
      <c r="N49" s="153">
        <v>0.04</v>
      </c>
      <c r="O49" s="153">
        <v>0.08</v>
      </c>
      <c r="P49" s="153">
        <v>0.04</v>
      </c>
      <c r="Q49" s="153">
        <v>0.08</v>
      </c>
      <c r="R49" s="153">
        <v>0</v>
      </c>
      <c r="S49" s="153">
        <v>0.04</v>
      </c>
      <c r="T49" s="153">
        <v>0.08</v>
      </c>
    </row>
    <row r="50" spans="1:20" ht="75" customHeight="1" x14ac:dyDescent="0.25">
      <c r="A50" s="153" t="s">
        <v>400</v>
      </c>
      <c r="B50" s="153" t="s">
        <v>401</v>
      </c>
      <c r="C50" s="153" t="s">
        <v>392</v>
      </c>
      <c r="D50" s="154" t="s">
        <v>402</v>
      </c>
      <c r="E50" s="154" t="s">
        <v>403</v>
      </c>
      <c r="F50" s="154" t="s">
        <v>404</v>
      </c>
      <c r="G50" s="154" t="s">
        <v>405</v>
      </c>
      <c r="H50" s="154" t="s">
        <v>406</v>
      </c>
      <c r="I50" s="154" t="s">
        <v>407</v>
      </c>
      <c r="J50" s="154" t="s">
        <v>408</v>
      </c>
      <c r="K50" s="153">
        <v>16525</v>
      </c>
      <c r="L50" s="153" t="s">
        <v>264</v>
      </c>
      <c r="M50" s="153" t="s">
        <v>370</v>
      </c>
      <c r="N50" s="153">
        <v>0.02</v>
      </c>
      <c r="O50" s="153">
        <v>0.02</v>
      </c>
      <c r="P50" s="153">
        <v>0.04</v>
      </c>
      <c r="Q50" s="153">
        <v>0.04</v>
      </c>
      <c r="R50" s="153">
        <v>0.02</v>
      </c>
      <c r="S50" s="153">
        <v>0.03</v>
      </c>
      <c r="T50" s="153">
        <v>0.05</v>
      </c>
    </row>
    <row r="51" spans="1:20" ht="75" customHeight="1" x14ac:dyDescent="0.25">
      <c r="A51" s="153" t="s">
        <v>400</v>
      </c>
      <c r="B51" s="153" t="s">
        <v>401</v>
      </c>
      <c r="C51" s="153" t="s">
        <v>392</v>
      </c>
      <c r="D51" s="154" t="s">
        <v>402</v>
      </c>
      <c r="E51" s="154" t="s">
        <v>403</v>
      </c>
      <c r="F51" s="154" t="s">
        <v>404</v>
      </c>
      <c r="G51" s="154" t="s">
        <v>405</v>
      </c>
      <c r="H51" s="154" t="s">
        <v>406</v>
      </c>
      <c r="I51" s="154" t="s">
        <v>407</v>
      </c>
      <c r="J51" s="154" t="s">
        <v>408</v>
      </c>
      <c r="K51" s="153">
        <v>16523</v>
      </c>
      <c r="L51" s="153" t="s">
        <v>262</v>
      </c>
      <c r="M51" s="153" t="s">
        <v>372</v>
      </c>
      <c r="N51" s="153">
        <v>0.04</v>
      </c>
      <c r="O51" s="153">
        <v>0.17</v>
      </c>
      <c r="P51" s="153">
        <v>0</v>
      </c>
      <c r="Q51" s="153">
        <v>0</v>
      </c>
      <c r="R51" s="153">
        <v>0</v>
      </c>
      <c r="S51" s="153">
        <v>0</v>
      </c>
      <c r="T51" s="153">
        <v>0.08</v>
      </c>
    </row>
    <row r="52" spans="1:20" ht="75" customHeight="1" x14ac:dyDescent="0.25">
      <c r="A52" s="153" t="s">
        <v>400</v>
      </c>
      <c r="B52" s="153" t="s">
        <v>401</v>
      </c>
      <c r="C52" s="153" t="s">
        <v>392</v>
      </c>
      <c r="D52" s="154" t="s">
        <v>402</v>
      </c>
      <c r="E52" s="154" t="s">
        <v>403</v>
      </c>
      <c r="F52" s="154" t="s">
        <v>404</v>
      </c>
      <c r="G52" s="154" t="s">
        <v>405</v>
      </c>
      <c r="H52" s="154" t="s">
        <v>406</v>
      </c>
      <c r="I52" s="154" t="s">
        <v>407</v>
      </c>
      <c r="J52" s="154" t="s">
        <v>408</v>
      </c>
      <c r="K52" s="153">
        <v>16524</v>
      </c>
      <c r="L52" s="153" t="s">
        <v>263</v>
      </c>
      <c r="M52" s="153" t="s">
        <v>370</v>
      </c>
      <c r="N52" s="153">
        <v>0.01</v>
      </c>
      <c r="O52" s="153">
        <v>0.02</v>
      </c>
      <c r="P52" s="153">
        <v>0.03</v>
      </c>
      <c r="Q52" s="153">
        <v>0.02</v>
      </c>
      <c r="R52" s="153">
        <v>0.04</v>
      </c>
      <c r="S52" s="153">
        <v>0.02</v>
      </c>
      <c r="T52" s="153">
        <v>0.01</v>
      </c>
    </row>
    <row r="53" spans="1:20" ht="75" customHeight="1" x14ac:dyDescent="0.25">
      <c r="A53" s="153" t="s">
        <v>400</v>
      </c>
      <c r="B53" s="153" t="s">
        <v>401</v>
      </c>
      <c r="C53" s="153" t="s">
        <v>392</v>
      </c>
      <c r="D53" s="154" t="s">
        <v>402</v>
      </c>
      <c r="E53" s="154" t="s">
        <v>403</v>
      </c>
      <c r="F53" s="154" t="s">
        <v>404</v>
      </c>
      <c r="G53" s="154" t="s">
        <v>405</v>
      </c>
      <c r="H53" s="154" t="s">
        <v>406</v>
      </c>
      <c r="I53" s="154" t="s">
        <v>407</v>
      </c>
      <c r="J53" s="154" t="s">
        <v>408</v>
      </c>
      <c r="K53" s="153">
        <v>15733</v>
      </c>
      <c r="L53" s="153" t="s">
        <v>256</v>
      </c>
      <c r="M53" s="153" t="s">
        <v>372</v>
      </c>
      <c r="N53" s="153">
        <v>0.08</v>
      </c>
      <c r="O53" s="153">
        <v>0.08</v>
      </c>
      <c r="P53" s="153">
        <v>0</v>
      </c>
      <c r="Q53" s="153">
        <v>0.08</v>
      </c>
      <c r="R53" s="153">
        <v>0</v>
      </c>
      <c r="S53" s="153">
        <v>0.21</v>
      </c>
      <c r="T53" s="153">
        <v>0.04</v>
      </c>
    </row>
    <row r="54" spans="1:20" ht="75" customHeight="1" x14ac:dyDescent="0.25">
      <c r="A54" s="153" t="s">
        <v>400</v>
      </c>
      <c r="B54" s="153" t="s">
        <v>401</v>
      </c>
      <c r="C54" s="153" t="s">
        <v>392</v>
      </c>
      <c r="D54" s="154" t="s">
        <v>402</v>
      </c>
      <c r="E54" s="154" t="s">
        <v>403</v>
      </c>
      <c r="F54" s="154" t="s">
        <v>404</v>
      </c>
      <c r="G54" s="154" t="s">
        <v>405</v>
      </c>
      <c r="H54" s="154" t="s">
        <v>406</v>
      </c>
      <c r="I54" s="154" t="s">
        <v>407</v>
      </c>
      <c r="J54" s="154" t="s">
        <v>408</v>
      </c>
      <c r="K54" s="153">
        <v>13839</v>
      </c>
      <c r="L54" s="153" t="s">
        <v>248</v>
      </c>
      <c r="M54" s="153" t="s">
        <v>372</v>
      </c>
      <c r="N54" s="153">
        <v>0.33</v>
      </c>
      <c r="O54" s="153">
        <v>0.33</v>
      </c>
      <c r="P54" s="153">
        <v>0.21</v>
      </c>
      <c r="Q54" s="153">
        <v>0.17</v>
      </c>
      <c r="R54" s="153">
        <v>0.25</v>
      </c>
      <c r="S54" s="153">
        <v>0.08</v>
      </c>
      <c r="T54" s="153">
        <v>0.17</v>
      </c>
    </row>
    <row r="55" spans="1:20" ht="75" customHeight="1" x14ac:dyDescent="0.25">
      <c r="A55" s="153" t="s">
        <v>400</v>
      </c>
      <c r="B55" s="153" t="s">
        <v>401</v>
      </c>
      <c r="C55" s="153" t="s">
        <v>392</v>
      </c>
      <c r="D55" s="154" t="s">
        <v>402</v>
      </c>
      <c r="E55" s="154" t="s">
        <v>403</v>
      </c>
      <c r="F55" s="154" t="s">
        <v>404</v>
      </c>
      <c r="G55" s="154" t="s">
        <v>405</v>
      </c>
      <c r="H55" s="154" t="s">
        <v>406</v>
      </c>
      <c r="I55" s="154" t="s">
        <v>407</v>
      </c>
      <c r="J55" s="154" t="s">
        <v>408</v>
      </c>
      <c r="K55" s="153">
        <v>100402</v>
      </c>
      <c r="L55" s="153" t="s">
        <v>232</v>
      </c>
      <c r="M55" s="153" t="s">
        <v>372</v>
      </c>
      <c r="N55" s="153">
        <v>0</v>
      </c>
      <c r="O55" s="153">
        <v>0.04</v>
      </c>
      <c r="P55" s="153">
        <v>0.13</v>
      </c>
      <c r="Q55" s="153">
        <v>0</v>
      </c>
      <c r="R55" s="153">
        <v>0</v>
      </c>
      <c r="S55" s="153">
        <v>0</v>
      </c>
      <c r="T55" s="153">
        <v>0.04</v>
      </c>
    </row>
    <row r="56" spans="1:20" ht="75" customHeight="1" x14ac:dyDescent="0.25">
      <c r="A56" s="153" t="s">
        <v>400</v>
      </c>
      <c r="B56" s="153" t="s">
        <v>401</v>
      </c>
      <c r="C56" s="153" t="s">
        <v>392</v>
      </c>
      <c r="D56" s="154" t="s">
        <v>402</v>
      </c>
      <c r="E56" s="154" t="s">
        <v>403</v>
      </c>
      <c r="F56" s="154" t="s">
        <v>404</v>
      </c>
      <c r="G56" s="154" t="s">
        <v>405</v>
      </c>
      <c r="H56" s="154" t="s">
        <v>406</v>
      </c>
      <c r="I56" s="154" t="s">
        <v>407</v>
      </c>
      <c r="J56" s="154" t="s">
        <v>408</v>
      </c>
      <c r="K56" s="153">
        <v>37895</v>
      </c>
      <c r="L56" s="153" t="s">
        <v>272</v>
      </c>
      <c r="M56" s="153" t="s">
        <v>335</v>
      </c>
      <c r="N56" s="153">
        <v>0.55000000000000004</v>
      </c>
      <c r="O56" s="153">
        <v>0.98</v>
      </c>
      <c r="P56" s="153">
        <v>0.69</v>
      </c>
      <c r="Q56" s="153">
        <v>0.8</v>
      </c>
      <c r="R56" s="153">
        <v>0.42</v>
      </c>
      <c r="S56" s="153">
        <v>0.55000000000000004</v>
      </c>
      <c r="T56" s="153">
        <v>0.54</v>
      </c>
    </row>
    <row r="57" spans="1:20" ht="75" customHeight="1" x14ac:dyDescent="0.25">
      <c r="A57" s="153" t="s">
        <v>400</v>
      </c>
      <c r="B57" s="153" t="s">
        <v>401</v>
      </c>
      <c r="C57" s="153" t="s">
        <v>392</v>
      </c>
      <c r="D57" s="154" t="s">
        <v>402</v>
      </c>
      <c r="E57" s="154" t="s">
        <v>403</v>
      </c>
      <c r="F57" s="154" t="s">
        <v>404</v>
      </c>
      <c r="G57" s="154" t="s">
        <v>405</v>
      </c>
      <c r="H57" s="154" t="s">
        <v>406</v>
      </c>
      <c r="I57" s="154" t="s">
        <v>407</v>
      </c>
      <c r="J57" s="154" t="s">
        <v>408</v>
      </c>
      <c r="K57" s="153">
        <v>15049</v>
      </c>
      <c r="L57" s="153" t="s">
        <v>254</v>
      </c>
      <c r="M57" s="153" t="s">
        <v>312</v>
      </c>
      <c r="N57" s="153">
        <v>4.5599999999999996</v>
      </c>
      <c r="O57" s="153">
        <v>6.74</v>
      </c>
      <c r="P57" s="153">
        <v>5.3</v>
      </c>
      <c r="Q57" s="153">
        <v>5.39</v>
      </c>
      <c r="R57" s="153">
        <v>2.94</v>
      </c>
      <c r="S57" s="153">
        <v>3.09</v>
      </c>
      <c r="T57" s="153">
        <v>3.34</v>
      </c>
    </row>
    <row r="58" spans="1:20" ht="75" customHeight="1" x14ac:dyDescent="0.25">
      <c r="A58" s="153" t="s">
        <v>400</v>
      </c>
      <c r="B58" s="153" t="s">
        <v>401</v>
      </c>
      <c r="C58" s="153" t="s">
        <v>392</v>
      </c>
      <c r="D58" s="154" t="s">
        <v>402</v>
      </c>
      <c r="E58" s="154" t="s">
        <v>403</v>
      </c>
      <c r="F58" s="154" t="s">
        <v>404</v>
      </c>
      <c r="G58" s="154" t="s">
        <v>405</v>
      </c>
      <c r="H58" s="154" t="s">
        <v>406</v>
      </c>
      <c r="I58" s="154" t="s">
        <v>407</v>
      </c>
      <c r="J58" s="154" t="s">
        <v>408</v>
      </c>
      <c r="K58" s="153">
        <v>14791</v>
      </c>
      <c r="L58" s="153" t="s">
        <v>144</v>
      </c>
      <c r="M58" s="153" t="s">
        <v>302</v>
      </c>
      <c r="N58" s="153">
        <v>0.26</v>
      </c>
      <c r="O58" s="153">
        <v>0.33</v>
      </c>
      <c r="P58" s="153">
        <v>0.32</v>
      </c>
      <c r="Q58" s="153">
        <v>0.35</v>
      </c>
      <c r="R58" s="153">
        <v>0.14000000000000001</v>
      </c>
      <c r="S58" s="153">
        <v>0.16</v>
      </c>
      <c r="T58" s="153">
        <v>0.12</v>
      </c>
    </row>
    <row r="59" spans="1:20" ht="75" customHeight="1" x14ac:dyDescent="0.25">
      <c r="A59" s="153" t="s">
        <v>400</v>
      </c>
      <c r="B59" s="153" t="s">
        <v>401</v>
      </c>
      <c r="C59" s="153" t="s">
        <v>392</v>
      </c>
      <c r="D59" s="154" t="s">
        <v>402</v>
      </c>
      <c r="E59" s="154" t="s">
        <v>403</v>
      </c>
      <c r="F59" s="154" t="s">
        <v>404</v>
      </c>
      <c r="G59" s="154" t="s">
        <v>405</v>
      </c>
      <c r="H59" s="154" t="s">
        <v>406</v>
      </c>
      <c r="I59" s="154" t="s">
        <v>407</v>
      </c>
      <c r="J59" s="154" t="s">
        <v>408</v>
      </c>
      <c r="K59" s="153">
        <v>20295</v>
      </c>
      <c r="L59" s="153" t="s">
        <v>101</v>
      </c>
      <c r="M59" s="153" t="s">
        <v>416</v>
      </c>
      <c r="N59" s="153">
        <v>0</v>
      </c>
      <c r="O59" s="153">
        <v>0.01</v>
      </c>
      <c r="P59" s="153">
        <v>0.01</v>
      </c>
      <c r="Q59" s="153">
        <v>0.01</v>
      </c>
      <c r="R59" s="153">
        <v>0</v>
      </c>
      <c r="S59" s="153">
        <v>0.01</v>
      </c>
      <c r="T59" s="153">
        <v>0</v>
      </c>
    </row>
    <row r="60" spans="1:20" ht="75" customHeight="1" x14ac:dyDescent="0.25">
      <c r="A60" s="153" t="s">
        <v>400</v>
      </c>
      <c r="B60" s="153" t="s">
        <v>401</v>
      </c>
      <c r="C60" s="153" t="s">
        <v>392</v>
      </c>
      <c r="D60" s="154" t="s">
        <v>402</v>
      </c>
      <c r="E60" s="154" t="s">
        <v>403</v>
      </c>
      <c r="F60" s="154" t="s">
        <v>404</v>
      </c>
      <c r="G60" s="154" t="s">
        <v>405</v>
      </c>
      <c r="H60" s="154" t="s">
        <v>406</v>
      </c>
      <c r="I60" s="154" t="s">
        <v>407</v>
      </c>
      <c r="J60" s="154" t="s">
        <v>408</v>
      </c>
      <c r="K60" s="153">
        <v>38701</v>
      </c>
      <c r="L60" s="153" t="s">
        <v>45</v>
      </c>
      <c r="M60" s="153" t="s">
        <v>304</v>
      </c>
      <c r="N60" s="153">
        <v>0.04</v>
      </c>
      <c r="O60" s="153">
        <v>0.12</v>
      </c>
      <c r="P60" s="153">
        <v>7.0000000000000007E-2</v>
      </c>
      <c r="Q60" s="153">
        <v>0.11</v>
      </c>
      <c r="R60" s="153">
        <v>7.0000000000000007E-2</v>
      </c>
      <c r="S60" s="153">
        <v>0.06</v>
      </c>
      <c r="T60" s="153">
        <v>0.06</v>
      </c>
    </row>
    <row r="61" spans="1:20" ht="75" customHeight="1" x14ac:dyDescent="0.25">
      <c r="A61" s="153" t="s">
        <v>400</v>
      </c>
      <c r="B61" s="153" t="s">
        <v>401</v>
      </c>
      <c r="C61" s="153" t="s">
        <v>392</v>
      </c>
      <c r="D61" s="154" t="s">
        <v>402</v>
      </c>
      <c r="E61" s="154" t="s">
        <v>403</v>
      </c>
      <c r="F61" s="154" t="s">
        <v>404</v>
      </c>
      <c r="G61" s="154" t="s">
        <v>405</v>
      </c>
      <c r="H61" s="154" t="s">
        <v>406</v>
      </c>
      <c r="I61" s="154" t="s">
        <v>407</v>
      </c>
      <c r="J61" s="154" t="s">
        <v>408</v>
      </c>
      <c r="K61" s="153">
        <v>13016</v>
      </c>
      <c r="L61" s="153" t="s">
        <v>247</v>
      </c>
      <c r="M61" s="153" t="s">
        <v>417</v>
      </c>
      <c r="N61" s="153">
        <v>0.86</v>
      </c>
      <c r="O61" s="153">
        <v>1.33</v>
      </c>
      <c r="P61" s="153">
        <v>1.1599999999999999</v>
      </c>
      <c r="Q61" s="153">
        <v>1.1200000000000001</v>
      </c>
      <c r="R61" s="153">
        <v>0.56000000000000005</v>
      </c>
      <c r="S61" s="153">
        <v>0.69</v>
      </c>
      <c r="T61" s="153">
        <v>0.7</v>
      </c>
    </row>
    <row r="62" spans="1:20" ht="75" customHeight="1" x14ac:dyDescent="0.25">
      <c r="A62" s="153" t="s">
        <v>400</v>
      </c>
      <c r="B62" s="153" t="s">
        <v>401</v>
      </c>
      <c r="C62" s="153" t="s">
        <v>392</v>
      </c>
      <c r="D62" s="154" t="s">
        <v>402</v>
      </c>
      <c r="E62" s="154" t="s">
        <v>403</v>
      </c>
      <c r="F62" s="154" t="s">
        <v>404</v>
      </c>
      <c r="G62" s="154" t="s">
        <v>405</v>
      </c>
      <c r="H62" s="154" t="s">
        <v>406</v>
      </c>
      <c r="I62" s="154" t="s">
        <v>407</v>
      </c>
      <c r="J62" s="154" t="s">
        <v>408</v>
      </c>
      <c r="K62" s="153">
        <v>39746</v>
      </c>
      <c r="L62" s="153" t="s">
        <v>124</v>
      </c>
      <c r="M62" s="153" t="s">
        <v>321</v>
      </c>
      <c r="N62" s="153">
        <v>0.12</v>
      </c>
      <c r="O62" s="153">
        <v>0.22</v>
      </c>
      <c r="P62" s="153">
        <v>0.21</v>
      </c>
      <c r="Q62" s="153">
        <v>0.22</v>
      </c>
      <c r="R62" s="153">
        <v>0.1</v>
      </c>
      <c r="S62" s="153">
        <v>0.12</v>
      </c>
      <c r="T62" s="153">
        <v>0.14000000000000001</v>
      </c>
    </row>
    <row r="63" spans="1:20" ht="75" customHeight="1" x14ac:dyDescent="0.25">
      <c r="A63" s="153" t="s">
        <v>400</v>
      </c>
      <c r="B63" s="153" t="s">
        <v>401</v>
      </c>
      <c r="C63" s="153" t="s">
        <v>392</v>
      </c>
      <c r="D63" s="154" t="s">
        <v>402</v>
      </c>
      <c r="E63" s="154" t="s">
        <v>403</v>
      </c>
      <c r="F63" s="154" t="s">
        <v>404</v>
      </c>
      <c r="G63" s="154" t="s">
        <v>405</v>
      </c>
      <c r="H63" s="154" t="s">
        <v>406</v>
      </c>
      <c r="I63" s="154" t="s">
        <v>407</v>
      </c>
      <c r="J63" s="154" t="s">
        <v>408</v>
      </c>
      <c r="K63" s="153">
        <v>37380</v>
      </c>
      <c r="L63" s="153" t="s">
        <v>105</v>
      </c>
      <c r="M63" s="153" t="s">
        <v>321</v>
      </c>
      <c r="N63" s="153">
        <v>0.02</v>
      </c>
      <c r="O63" s="153">
        <v>0.02</v>
      </c>
      <c r="P63" s="153">
        <v>0.03</v>
      </c>
      <c r="Q63" s="153">
        <v>0.02</v>
      </c>
      <c r="R63" s="153">
        <v>0.01</v>
      </c>
      <c r="S63" s="153">
        <v>0</v>
      </c>
      <c r="T63" s="153">
        <v>0.01</v>
      </c>
    </row>
    <row r="64" spans="1:20" ht="75" customHeight="1" x14ac:dyDescent="0.25">
      <c r="A64" s="153" t="s">
        <v>400</v>
      </c>
      <c r="B64" s="153" t="s">
        <v>401</v>
      </c>
      <c r="C64" s="153" t="s">
        <v>392</v>
      </c>
      <c r="D64" s="154" t="s">
        <v>402</v>
      </c>
      <c r="E64" s="154" t="s">
        <v>403</v>
      </c>
      <c r="F64" s="154" t="s">
        <v>404</v>
      </c>
      <c r="G64" s="154" t="s">
        <v>405</v>
      </c>
      <c r="H64" s="154" t="s">
        <v>406</v>
      </c>
      <c r="I64" s="154" t="s">
        <v>407</v>
      </c>
      <c r="J64" s="154" t="s">
        <v>408</v>
      </c>
      <c r="K64" s="153">
        <v>13735</v>
      </c>
      <c r="L64" s="153" t="s">
        <v>103</v>
      </c>
      <c r="M64" s="153" t="s">
        <v>321</v>
      </c>
      <c r="N64" s="153">
        <v>0.17</v>
      </c>
      <c r="O64" s="153">
        <v>0.25</v>
      </c>
      <c r="P64" s="153">
        <v>0.21</v>
      </c>
      <c r="Q64" s="153">
        <v>0.21</v>
      </c>
      <c r="R64" s="153">
        <v>0.11</v>
      </c>
      <c r="S64" s="153">
        <v>0.12</v>
      </c>
      <c r="T64" s="153">
        <v>0.13</v>
      </c>
    </row>
    <row r="65" spans="1:20" ht="75" customHeight="1" x14ac:dyDescent="0.25">
      <c r="A65" s="153" t="s">
        <v>400</v>
      </c>
      <c r="B65" s="153" t="s">
        <v>401</v>
      </c>
      <c r="C65" s="153" t="s">
        <v>392</v>
      </c>
      <c r="D65" s="154" t="s">
        <v>402</v>
      </c>
      <c r="E65" s="154" t="s">
        <v>403</v>
      </c>
      <c r="F65" s="154" t="s">
        <v>404</v>
      </c>
      <c r="G65" s="154" t="s">
        <v>405</v>
      </c>
      <c r="H65" s="154" t="s">
        <v>406</v>
      </c>
      <c r="I65" s="154" t="s">
        <v>407</v>
      </c>
      <c r="J65" s="154" t="s">
        <v>408</v>
      </c>
      <c r="K65" s="153">
        <v>39520</v>
      </c>
      <c r="L65" s="153" t="s">
        <v>294</v>
      </c>
      <c r="M65" s="153" t="s">
        <v>341</v>
      </c>
      <c r="N65" s="153">
        <v>1.47</v>
      </c>
      <c r="O65" s="153">
        <v>2.2799999999999998</v>
      </c>
      <c r="P65" s="153">
        <v>2.08</v>
      </c>
      <c r="Q65" s="153">
        <v>1.97</v>
      </c>
      <c r="R65" s="153">
        <v>0.94</v>
      </c>
      <c r="S65" s="153">
        <v>1.1399999999999999</v>
      </c>
      <c r="T65" s="153">
        <v>1.23</v>
      </c>
    </row>
    <row r="66" spans="1:20" ht="75" customHeight="1" x14ac:dyDescent="0.25">
      <c r="A66" s="153" t="s">
        <v>400</v>
      </c>
      <c r="B66" s="153" t="s">
        <v>401</v>
      </c>
      <c r="C66" s="153" t="s">
        <v>392</v>
      </c>
      <c r="D66" s="154" t="s">
        <v>402</v>
      </c>
      <c r="E66" s="154" t="s">
        <v>403</v>
      </c>
      <c r="F66" s="154" t="s">
        <v>404</v>
      </c>
      <c r="G66" s="154" t="s">
        <v>405</v>
      </c>
      <c r="H66" s="154" t="s">
        <v>406</v>
      </c>
      <c r="I66" s="154" t="s">
        <v>407</v>
      </c>
      <c r="J66" s="154" t="s">
        <v>408</v>
      </c>
      <c r="K66" s="153">
        <v>39139</v>
      </c>
      <c r="L66" s="153" t="s">
        <v>293</v>
      </c>
      <c r="M66" s="153" t="s">
        <v>344</v>
      </c>
      <c r="N66" s="153">
        <v>1.72</v>
      </c>
      <c r="O66" s="153">
        <v>2.4700000000000002</v>
      </c>
      <c r="P66" s="153">
        <v>1.9</v>
      </c>
      <c r="Q66" s="153">
        <v>2.0099999999999998</v>
      </c>
      <c r="R66" s="153">
        <v>0.87</v>
      </c>
      <c r="S66" s="153">
        <v>1.23</v>
      </c>
      <c r="T66" s="153">
        <v>1.1100000000000001</v>
      </c>
    </row>
    <row r="67" spans="1:20" ht="75" customHeight="1" x14ac:dyDescent="0.25">
      <c r="A67" s="153" t="s">
        <v>400</v>
      </c>
      <c r="B67" s="153" t="s">
        <v>401</v>
      </c>
      <c r="C67" s="153" t="s">
        <v>392</v>
      </c>
      <c r="D67" s="154" t="s">
        <v>402</v>
      </c>
      <c r="E67" s="154" t="s">
        <v>403</v>
      </c>
      <c r="F67" s="154" t="s">
        <v>404</v>
      </c>
      <c r="G67" s="154" t="s">
        <v>405</v>
      </c>
      <c r="H67" s="154" t="s">
        <v>406</v>
      </c>
      <c r="I67" s="154" t="s">
        <v>407</v>
      </c>
      <c r="J67" s="154" t="s">
        <v>408</v>
      </c>
      <c r="K67" s="153">
        <v>36549</v>
      </c>
      <c r="L67" s="153" t="s">
        <v>107</v>
      </c>
      <c r="M67" s="153" t="s">
        <v>324</v>
      </c>
      <c r="N67" s="153">
        <v>0.11</v>
      </c>
      <c r="O67" s="153">
        <v>0.16</v>
      </c>
      <c r="P67" s="153">
        <v>0.14000000000000001</v>
      </c>
      <c r="Q67" s="153">
        <v>0.14000000000000001</v>
      </c>
      <c r="R67" s="153">
        <v>7.0000000000000007E-2</v>
      </c>
      <c r="S67" s="153">
        <v>0.08</v>
      </c>
      <c r="T67" s="153">
        <v>0.09</v>
      </c>
    </row>
    <row r="68" spans="1:20" ht="75" customHeight="1" x14ac:dyDescent="0.25">
      <c r="A68" s="153" t="s">
        <v>400</v>
      </c>
      <c r="B68" s="153" t="s">
        <v>401</v>
      </c>
      <c r="C68" s="153" t="s">
        <v>392</v>
      </c>
      <c r="D68" s="154" t="s">
        <v>402</v>
      </c>
      <c r="E68" s="154" t="s">
        <v>403</v>
      </c>
      <c r="F68" s="154" t="s">
        <v>404</v>
      </c>
      <c r="G68" s="154" t="s">
        <v>405</v>
      </c>
      <c r="H68" s="154" t="s">
        <v>406</v>
      </c>
      <c r="I68" s="154" t="s">
        <v>407</v>
      </c>
      <c r="J68" s="154" t="s">
        <v>408</v>
      </c>
      <c r="K68" s="153">
        <v>33312</v>
      </c>
      <c r="L68" s="153" t="s">
        <v>266</v>
      </c>
      <c r="M68" s="153" t="s">
        <v>357</v>
      </c>
      <c r="N68" s="153">
        <v>0.51</v>
      </c>
      <c r="O68" s="153">
        <v>0.81</v>
      </c>
      <c r="P68" s="153">
        <v>0.66</v>
      </c>
      <c r="Q68" s="153">
        <v>0.67</v>
      </c>
      <c r="R68" s="153">
        <v>0.33</v>
      </c>
      <c r="S68" s="153">
        <v>0.38</v>
      </c>
      <c r="T68" s="153">
        <v>0.4</v>
      </c>
    </row>
    <row r="69" spans="1:20" ht="75" customHeight="1" x14ac:dyDescent="0.25">
      <c r="A69" s="153" t="s">
        <v>400</v>
      </c>
      <c r="B69" s="153" t="s">
        <v>401</v>
      </c>
      <c r="C69" s="153" t="s">
        <v>392</v>
      </c>
      <c r="D69" s="154" t="s">
        <v>402</v>
      </c>
      <c r="E69" s="154" t="s">
        <v>403</v>
      </c>
      <c r="F69" s="154" t="s">
        <v>404</v>
      </c>
      <c r="G69" s="154" t="s">
        <v>405</v>
      </c>
      <c r="H69" s="154" t="s">
        <v>406</v>
      </c>
      <c r="I69" s="154" t="s">
        <v>407</v>
      </c>
      <c r="J69" s="154" t="s">
        <v>408</v>
      </c>
      <c r="K69" s="153">
        <v>15659</v>
      </c>
      <c r="L69" s="153" t="s">
        <v>255</v>
      </c>
      <c r="M69" s="153" t="s">
        <v>363</v>
      </c>
      <c r="N69" s="153">
        <v>0.24</v>
      </c>
      <c r="O69" s="153">
        <v>0.39</v>
      </c>
      <c r="P69" s="153">
        <v>0.31</v>
      </c>
      <c r="Q69" s="153">
        <v>0.4</v>
      </c>
      <c r="R69" s="153">
        <v>0.15</v>
      </c>
      <c r="S69" s="153">
        <v>0.19</v>
      </c>
      <c r="T69" s="153">
        <v>0.16</v>
      </c>
    </row>
    <row r="70" spans="1:20" ht="75" customHeight="1" x14ac:dyDescent="0.25">
      <c r="A70" s="153" t="s">
        <v>400</v>
      </c>
      <c r="B70" s="153" t="s">
        <v>401</v>
      </c>
      <c r="C70" s="153" t="s">
        <v>392</v>
      </c>
      <c r="D70" s="154" t="s">
        <v>402</v>
      </c>
      <c r="E70" s="154" t="s">
        <v>403</v>
      </c>
      <c r="F70" s="154" t="s">
        <v>404</v>
      </c>
      <c r="G70" s="154" t="s">
        <v>405</v>
      </c>
      <c r="H70" s="154" t="s">
        <v>406</v>
      </c>
      <c r="I70" s="154" t="s">
        <v>407</v>
      </c>
      <c r="J70" s="154" t="s">
        <v>408</v>
      </c>
      <c r="K70" s="153">
        <v>37915</v>
      </c>
      <c r="L70" s="153" t="s">
        <v>109</v>
      </c>
      <c r="M70" s="153" t="s">
        <v>314</v>
      </c>
      <c r="N70" s="153">
        <v>0.34</v>
      </c>
      <c r="O70" s="153">
        <v>0.47</v>
      </c>
      <c r="P70" s="153">
        <v>0.39</v>
      </c>
      <c r="Q70" s="153">
        <v>0.44</v>
      </c>
      <c r="R70" s="153">
        <v>0.16</v>
      </c>
      <c r="S70" s="153">
        <v>0.25</v>
      </c>
      <c r="T70" s="153">
        <v>0.21</v>
      </c>
    </row>
    <row r="71" spans="1:20" ht="75" customHeight="1" x14ac:dyDescent="0.25">
      <c r="A71" s="153" t="s">
        <v>400</v>
      </c>
      <c r="B71" s="153" t="s">
        <v>401</v>
      </c>
      <c r="C71" s="153" t="s">
        <v>392</v>
      </c>
      <c r="D71" s="154" t="s">
        <v>402</v>
      </c>
      <c r="E71" s="154" t="s">
        <v>403</v>
      </c>
      <c r="F71" s="154" t="s">
        <v>404</v>
      </c>
      <c r="G71" s="154" t="s">
        <v>405</v>
      </c>
      <c r="H71" s="154" t="s">
        <v>406</v>
      </c>
      <c r="I71" s="154" t="s">
        <v>407</v>
      </c>
      <c r="J71" s="154" t="s">
        <v>408</v>
      </c>
      <c r="K71" s="153">
        <v>38670</v>
      </c>
      <c r="L71" s="153" t="s">
        <v>288</v>
      </c>
      <c r="M71" s="153" t="s">
        <v>361</v>
      </c>
      <c r="N71" s="153">
        <v>0.28000000000000003</v>
      </c>
      <c r="O71" s="153">
        <v>0.46</v>
      </c>
      <c r="P71" s="153">
        <v>0.37</v>
      </c>
      <c r="Q71" s="153">
        <v>0.47</v>
      </c>
      <c r="R71" s="153">
        <v>0.18</v>
      </c>
      <c r="S71" s="153">
        <v>0.23</v>
      </c>
      <c r="T71" s="153">
        <v>0.2</v>
      </c>
    </row>
    <row r="72" spans="1:20" ht="75" customHeight="1" x14ac:dyDescent="0.25">
      <c r="A72" s="153" t="s">
        <v>400</v>
      </c>
      <c r="B72" s="153" t="s">
        <v>401</v>
      </c>
      <c r="C72" s="153" t="s">
        <v>392</v>
      </c>
      <c r="D72" s="154" t="s">
        <v>402</v>
      </c>
      <c r="E72" s="154" t="s">
        <v>403</v>
      </c>
      <c r="F72" s="154" t="s">
        <v>404</v>
      </c>
      <c r="G72" s="154" t="s">
        <v>405</v>
      </c>
      <c r="H72" s="154" t="s">
        <v>406</v>
      </c>
      <c r="I72" s="154" t="s">
        <v>407</v>
      </c>
      <c r="J72" s="154" t="s">
        <v>408</v>
      </c>
      <c r="K72" s="153">
        <v>106191</v>
      </c>
      <c r="L72" s="153" t="s">
        <v>237</v>
      </c>
      <c r="M72" s="153" t="s">
        <v>418</v>
      </c>
      <c r="N72" s="153">
        <v>0</v>
      </c>
      <c r="O72" s="153">
        <v>0.04</v>
      </c>
      <c r="P72" s="153">
        <v>0.02</v>
      </c>
      <c r="Q72" s="153">
        <v>0.04</v>
      </c>
      <c r="R72" s="153">
        <v>0.02</v>
      </c>
      <c r="S72" s="153">
        <v>0.02</v>
      </c>
      <c r="T72" s="153">
        <v>0.02</v>
      </c>
    </row>
    <row r="73" spans="1:20" ht="75" customHeight="1" x14ac:dyDescent="0.25">
      <c r="A73" s="153" t="s">
        <v>400</v>
      </c>
      <c r="B73" s="153" t="s">
        <v>401</v>
      </c>
      <c r="C73" s="153" t="s">
        <v>392</v>
      </c>
      <c r="D73" s="154" t="s">
        <v>402</v>
      </c>
      <c r="E73" s="154" t="s">
        <v>403</v>
      </c>
      <c r="F73" s="154" t="s">
        <v>404</v>
      </c>
      <c r="G73" s="154" t="s">
        <v>405</v>
      </c>
      <c r="H73" s="154" t="s">
        <v>406</v>
      </c>
      <c r="I73" s="154" t="s">
        <v>407</v>
      </c>
      <c r="J73" s="154" t="s">
        <v>408</v>
      </c>
      <c r="K73" s="153">
        <v>37870</v>
      </c>
      <c r="L73" s="153" t="s">
        <v>112</v>
      </c>
      <c r="M73" s="153" t="s">
        <v>304</v>
      </c>
      <c r="N73" s="153">
        <v>0.22</v>
      </c>
      <c r="O73" s="153">
        <v>0.27</v>
      </c>
      <c r="P73" s="153">
        <v>0.24</v>
      </c>
      <c r="Q73" s="153">
        <v>0.22</v>
      </c>
      <c r="R73" s="153">
        <v>0.1</v>
      </c>
      <c r="S73" s="153">
        <v>0.14000000000000001</v>
      </c>
      <c r="T73" s="153">
        <v>0.16</v>
      </c>
    </row>
    <row r="74" spans="1:20" ht="75" customHeight="1" x14ac:dyDescent="0.25">
      <c r="A74" s="153" t="s">
        <v>400</v>
      </c>
      <c r="B74" s="153" t="s">
        <v>401</v>
      </c>
      <c r="C74" s="153" t="s">
        <v>392</v>
      </c>
      <c r="D74" s="154" t="s">
        <v>402</v>
      </c>
      <c r="E74" s="154" t="s">
        <v>403</v>
      </c>
      <c r="F74" s="154" t="s">
        <v>404</v>
      </c>
      <c r="G74" s="154" t="s">
        <v>405</v>
      </c>
      <c r="H74" s="154" t="s">
        <v>406</v>
      </c>
      <c r="I74" s="154" t="s">
        <v>407</v>
      </c>
      <c r="J74" s="154" t="s">
        <v>408</v>
      </c>
      <c r="K74" s="153">
        <v>38493</v>
      </c>
      <c r="L74" s="153" t="s">
        <v>286</v>
      </c>
      <c r="M74" s="153" t="s">
        <v>330</v>
      </c>
      <c r="N74" s="153">
        <v>0.15</v>
      </c>
      <c r="O74" s="153">
        <v>0.22</v>
      </c>
      <c r="P74" s="153">
        <v>0.21</v>
      </c>
      <c r="Q74" s="153">
        <v>0.18</v>
      </c>
      <c r="R74" s="153">
        <v>0.11</v>
      </c>
      <c r="S74" s="153">
        <v>0.11</v>
      </c>
      <c r="T74" s="153">
        <v>0.11</v>
      </c>
    </row>
    <row r="75" spans="1:20" ht="75" customHeight="1" x14ac:dyDescent="0.25">
      <c r="A75" s="153" t="s">
        <v>400</v>
      </c>
      <c r="B75" s="153" t="s">
        <v>401</v>
      </c>
      <c r="C75" s="153" t="s">
        <v>392</v>
      </c>
      <c r="D75" s="154" t="s">
        <v>402</v>
      </c>
      <c r="E75" s="154" t="s">
        <v>403</v>
      </c>
      <c r="F75" s="154" t="s">
        <v>404</v>
      </c>
      <c r="G75" s="154" t="s">
        <v>405</v>
      </c>
      <c r="H75" s="154" t="s">
        <v>406</v>
      </c>
      <c r="I75" s="154" t="s">
        <v>407</v>
      </c>
      <c r="J75" s="154" t="s">
        <v>408</v>
      </c>
      <c r="K75" s="153">
        <v>37883</v>
      </c>
      <c r="L75" s="153" t="s">
        <v>113</v>
      </c>
      <c r="M75" s="153" t="s">
        <v>419</v>
      </c>
      <c r="N75" s="153">
        <v>0.01</v>
      </c>
      <c r="O75" s="153">
        <v>0.04</v>
      </c>
      <c r="P75" s="153">
        <v>7.0000000000000007E-2</v>
      </c>
      <c r="Q75" s="153">
        <v>0.01</v>
      </c>
      <c r="R75" s="153">
        <v>0.05</v>
      </c>
      <c r="S75" s="153">
        <v>0.03</v>
      </c>
      <c r="T75" s="153">
        <v>0.06</v>
      </c>
    </row>
    <row r="76" spans="1:20" ht="75" customHeight="1" x14ac:dyDescent="0.25">
      <c r="A76" s="153" t="s">
        <v>400</v>
      </c>
      <c r="B76" s="153" t="s">
        <v>401</v>
      </c>
      <c r="C76" s="153" t="s">
        <v>392</v>
      </c>
      <c r="D76" s="154" t="s">
        <v>402</v>
      </c>
      <c r="E76" s="154" t="s">
        <v>403</v>
      </c>
      <c r="F76" s="154" t="s">
        <v>404</v>
      </c>
      <c r="G76" s="154" t="s">
        <v>405</v>
      </c>
      <c r="H76" s="154" t="s">
        <v>406</v>
      </c>
      <c r="I76" s="154" t="s">
        <v>407</v>
      </c>
      <c r="J76" s="154" t="s">
        <v>408</v>
      </c>
      <c r="K76" s="153">
        <v>38722</v>
      </c>
      <c r="L76" s="153" t="s">
        <v>291</v>
      </c>
      <c r="M76" s="153" t="s">
        <v>304</v>
      </c>
      <c r="N76" s="153">
        <v>7.0000000000000007E-2</v>
      </c>
      <c r="O76" s="153">
        <v>0.12</v>
      </c>
      <c r="P76" s="153">
        <v>7.0000000000000007E-2</v>
      </c>
      <c r="Q76" s="153">
        <v>0.1</v>
      </c>
      <c r="R76" s="153">
        <v>7.0000000000000007E-2</v>
      </c>
      <c r="S76" s="153">
        <v>0.06</v>
      </c>
      <c r="T76" s="153">
        <v>0.06</v>
      </c>
    </row>
    <row r="77" spans="1:20" ht="75" customHeight="1" x14ac:dyDescent="0.25">
      <c r="A77" s="153" t="s">
        <v>400</v>
      </c>
      <c r="B77" s="153" t="s">
        <v>401</v>
      </c>
      <c r="C77" s="153" t="s">
        <v>392</v>
      </c>
      <c r="D77" s="154" t="s">
        <v>402</v>
      </c>
      <c r="E77" s="154" t="s">
        <v>403</v>
      </c>
      <c r="F77" s="154" t="s">
        <v>404</v>
      </c>
      <c r="G77" s="154" t="s">
        <v>405</v>
      </c>
      <c r="H77" s="154" t="s">
        <v>406</v>
      </c>
      <c r="I77" s="154" t="s">
        <v>407</v>
      </c>
      <c r="J77" s="154" t="s">
        <v>408</v>
      </c>
      <c r="K77" s="153">
        <v>100457</v>
      </c>
      <c r="L77" s="153" t="s">
        <v>73</v>
      </c>
      <c r="M77" s="153" t="s">
        <v>304</v>
      </c>
      <c r="N77" s="153">
        <v>0.08</v>
      </c>
      <c r="O77" s="153">
        <v>0.1</v>
      </c>
      <c r="P77" s="153">
        <v>7.0000000000000007E-2</v>
      </c>
      <c r="Q77" s="153">
        <v>0.06</v>
      </c>
      <c r="R77" s="153">
        <v>0.03</v>
      </c>
      <c r="S77" s="153">
        <v>0.04</v>
      </c>
      <c r="T77" s="153">
        <v>0.05</v>
      </c>
    </row>
    <row r="78" spans="1:20" ht="75" customHeight="1" x14ac:dyDescent="0.25">
      <c r="A78" s="153" t="s">
        <v>400</v>
      </c>
      <c r="B78" s="153" t="s">
        <v>401</v>
      </c>
      <c r="C78" s="153" t="s">
        <v>392</v>
      </c>
      <c r="D78" s="154" t="s">
        <v>402</v>
      </c>
      <c r="E78" s="154" t="s">
        <v>403</v>
      </c>
      <c r="F78" s="154" t="s">
        <v>404</v>
      </c>
      <c r="G78" s="154" t="s">
        <v>405</v>
      </c>
      <c r="H78" s="154" t="s">
        <v>406</v>
      </c>
      <c r="I78" s="154" t="s">
        <v>407</v>
      </c>
      <c r="J78" s="154" t="s">
        <v>408</v>
      </c>
      <c r="K78" s="153">
        <v>37909</v>
      </c>
      <c r="L78" s="153" t="s">
        <v>274</v>
      </c>
      <c r="M78" s="153" t="s">
        <v>310</v>
      </c>
      <c r="N78" s="153">
        <v>0.64</v>
      </c>
      <c r="O78" s="153">
        <v>1.07</v>
      </c>
      <c r="P78" s="153">
        <v>0.99</v>
      </c>
      <c r="Q78" s="153">
        <v>0.94</v>
      </c>
      <c r="R78" s="153">
        <v>0.37</v>
      </c>
      <c r="S78" s="153">
        <v>0.53</v>
      </c>
      <c r="T78" s="153">
        <v>0.55000000000000004</v>
      </c>
    </row>
    <row r="79" spans="1:20" ht="75" customHeight="1" x14ac:dyDescent="0.25">
      <c r="A79" s="153" t="s">
        <v>400</v>
      </c>
      <c r="B79" s="153" t="s">
        <v>401</v>
      </c>
      <c r="C79" s="153" t="s">
        <v>392</v>
      </c>
      <c r="D79" s="154" t="s">
        <v>402</v>
      </c>
      <c r="E79" s="154" t="s">
        <v>403</v>
      </c>
      <c r="F79" s="154" t="s">
        <v>404</v>
      </c>
      <c r="G79" s="154" t="s">
        <v>405</v>
      </c>
      <c r="H79" s="154" t="s">
        <v>406</v>
      </c>
      <c r="I79" s="154" t="s">
        <v>407</v>
      </c>
      <c r="J79" s="154" t="s">
        <v>408</v>
      </c>
      <c r="K79" s="153">
        <v>37913</v>
      </c>
      <c r="L79" s="153" t="s">
        <v>276</v>
      </c>
      <c r="M79" s="153" t="s">
        <v>420</v>
      </c>
      <c r="N79" s="153">
        <v>0.04</v>
      </c>
      <c r="O79" s="153">
        <v>0.06</v>
      </c>
      <c r="P79" s="153">
        <v>0.05</v>
      </c>
      <c r="Q79" s="153">
        <v>0.06</v>
      </c>
      <c r="R79" s="153">
        <v>0.02</v>
      </c>
      <c r="S79" s="153">
        <v>0.03</v>
      </c>
      <c r="T79" s="153">
        <v>0.03</v>
      </c>
    </row>
    <row r="80" spans="1:20" ht="75" customHeight="1" x14ac:dyDescent="0.25">
      <c r="A80" s="153" t="s">
        <v>400</v>
      </c>
      <c r="B80" s="153" t="s">
        <v>401</v>
      </c>
      <c r="C80" s="153" t="s">
        <v>392</v>
      </c>
      <c r="D80" s="154" t="s">
        <v>402</v>
      </c>
      <c r="E80" s="154" t="s">
        <v>403</v>
      </c>
      <c r="F80" s="154" t="s">
        <v>404</v>
      </c>
      <c r="G80" s="154" t="s">
        <v>405</v>
      </c>
      <c r="H80" s="154" t="s">
        <v>406</v>
      </c>
      <c r="I80" s="154" t="s">
        <v>407</v>
      </c>
      <c r="J80" s="154" t="s">
        <v>408</v>
      </c>
      <c r="K80" s="153">
        <v>38414</v>
      </c>
      <c r="L80" s="153" t="s">
        <v>285</v>
      </c>
      <c r="M80" s="153" t="s">
        <v>330</v>
      </c>
      <c r="N80" s="153">
        <v>0.27</v>
      </c>
      <c r="O80" s="153">
        <v>0.41</v>
      </c>
      <c r="P80" s="153">
        <v>0.33</v>
      </c>
      <c r="Q80" s="153">
        <v>0.39</v>
      </c>
      <c r="R80" s="153">
        <v>0.18</v>
      </c>
      <c r="S80" s="153">
        <v>0.23</v>
      </c>
      <c r="T80" s="153">
        <v>0.21</v>
      </c>
    </row>
    <row r="81" spans="1:20" ht="75" customHeight="1" x14ac:dyDescent="0.25">
      <c r="A81" s="153" t="s">
        <v>400</v>
      </c>
      <c r="B81" s="153" t="s">
        <v>401</v>
      </c>
      <c r="C81" s="153" t="s">
        <v>392</v>
      </c>
      <c r="D81" s="154" t="s">
        <v>402</v>
      </c>
      <c r="E81" s="154" t="s">
        <v>403</v>
      </c>
      <c r="F81" s="154" t="s">
        <v>404</v>
      </c>
      <c r="G81" s="154" t="s">
        <v>405</v>
      </c>
      <c r="H81" s="154" t="s">
        <v>406</v>
      </c>
      <c r="I81" s="154" t="s">
        <v>407</v>
      </c>
      <c r="J81" s="154" t="s">
        <v>408</v>
      </c>
      <c r="K81" s="153">
        <v>37907</v>
      </c>
      <c r="L81" s="153" t="s">
        <v>116</v>
      </c>
      <c r="M81" s="153" t="s">
        <v>314</v>
      </c>
      <c r="N81" s="153">
        <v>0.11</v>
      </c>
      <c r="O81" s="153">
        <v>0.16</v>
      </c>
      <c r="P81" s="153">
        <v>0.13</v>
      </c>
      <c r="Q81" s="153">
        <v>0.14000000000000001</v>
      </c>
      <c r="R81" s="153">
        <v>0.06</v>
      </c>
      <c r="S81" s="153">
        <v>0.08</v>
      </c>
      <c r="T81" s="153">
        <v>0.08</v>
      </c>
    </row>
    <row r="82" spans="1:20" ht="75" customHeight="1" x14ac:dyDescent="0.25">
      <c r="A82" s="153" t="s">
        <v>400</v>
      </c>
      <c r="B82" s="153" t="s">
        <v>401</v>
      </c>
      <c r="C82" s="153" t="s">
        <v>392</v>
      </c>
      <c r="D82" s="154" t="s">
        <v>402</v>
      </c>
      <c r="E82" s="154" t="s">
        <v>403</v>
      </c>
      <c r="F82" s="154" t="s">
        <v>404</v>
      </c>
      <c r="G82" s="154" t="s">
        <v>405</v>
      </c>
      <c r="H82" s="154" t="s">
        <v>406</v>
      </c>
      <c r="I82" s="154" t="s">
        <v>407</v>
      </c>
      <c r="J82" s="154" t="s">
        <v>408</v>
      </c>
      <c r="K82" s="153">
        <v>39185</v>
      </c>
      <c r="L82" s="153" t="s">
        <v>118</v>
      </c>
      <c r="M82" s="153" t="s">
        <v>421</v>
      </c>
      <c r="N82" s="153">
        <v>0.05</v>
      </c>
      <c r="O82" s="153">
        <v>7.0000000000000007E-2</v>
      </c>
      <c r="P82" s="153">
        <v>0.06</v>
      </c>
      <c r="Q82" s="153">
        <v>0.06</v>
      </c>
      <c r="R82" s="153">
        <v>0.03</v>
      </c>
      <c r="S82" s="153">
        <v>0.03</v>
      </c>
      <c r="T82" s="153">
        <v>0.04</v>
      </c>
    </row>
    <row r="83" spans="1:20" ht="75" customHeight="1" x14ac:dyDescent="0.25">
      <c r="A83" s="153" t="s">
        <v>400</v>
      </c>
      <c r="B83" s="153" t="s">
        <v>401</v>
      </c>
      <c r="C83" s="153" t="s">
        <v>392</v>
      </c>
      <c r="D83" s="154" t="s">
        <v>402</v>
      </c>
      <c r="E83" s="154" t="s">
        <v>403</v>
      </c>
      <c r="F83" s="154" t="s">
        <v>404</v>
      </c>
      <c r="G83" s="154" t="s">
        <v>405</v>
      </c>
      <c r="H83" s="154" t="s">
        <v>406</v>
      </c>
      <c r="I83" s="154" t="s">
        <v>407</v>
      </c>
      <c r="J83" s="154" t="s">
        <v>408</v>
      </c>
      <c r="K83" s="153">
        <v>34210</v>
      </c>
      <c r="L83" s="153" t="s">
        <v>120</v>
      </c>
      <c r="M83" s="153" t="s">
        <v>422</v>
      </c>
      <c r="N83" s="153">
        <v>0</v>
      </c>
      <c r="O83" s="153">
        <v>0.01</v>
      </c>
      <c r="P83" s="153">
        <v>0.01</v>
      </c>
      <c r="Q83" s="153">
        <v>0.01</v>
      </c>
      <c r="R83" s="153">
        <v>0.01</v>
      </c>
      <c r="S83" s="153">
        <v>0.01</v>
      </c>
      <c r="T83" s="153">
        <v>0.01</v>
      </c>
    </row>
    <row r="84" spans="1:20" ht="75" customHeight="1" x14ac:dyDescent="0.25">
      <c r="A84" s="153" t="s">
        <v>400</v>
      </c>
      <c r="B84" s="153" t="s">
        <v>401</v>
      </c>
      <c r="C84" s="153" t="s">
        <v>392</v>
      </c>
      <c r="D84" s="154" t="s">
        <v>402</v>
      </c>
      <c r="E84" s="154" t="s">
        <v>403</v>
      </c>
      <c r="F84" s="154" t="s">
        <v>404</v>
      </c>
      <c r="G84" s="154" t="s">
        <v>405</v>
      </c>
      <c r="H84" s="154" t="s">
        <v>406</v>
      </c>
      <c r="I84" s="154" t="s">
        <v>407</v>
      </c>
      <c r="J84" s="154" t="s">
        <v>408</v>
      </c>
      <c r="K84" s="153">
        <v>38362</v>
      </c>
      <c r="L84" s="153" t="s">
        <v>40</v>
      </c>
      <c r="M84" s="153" t="s">
        <v>236</v>
      </c>
      <c r="N84" s="153">
        <v>1.62</v>
      </c>
      <c r="O84" s="153">
        <v>2.75</v>
      </c>
      <c r="P84" s="153">
        <v>2.19</v>
      </c>
      <c r="Q84" s="153">
        <v>2.75</v>
      </c>
      <c r="R84" s="153">
        <v>0.94</v>
      </c>
      <c r="S84" s="153">
        <v>1.36</v>
      </c>
      <c r="T84" s="153">
        <v>1.02</v>
      </c>
    </row>
    <row r="85" spans="1:20" ht="75" customHeight="1" x14ac:dyDescent="0.25">
      <c r="A85" s="153" t="s">
        <v>400</v>
      </c>
      <c r="B85" s="153" t="s">
        <v>401</v>
      </c>
      <c r="C85" s="153" t="s">
        <v>392</v>
      </c>
      <c r="D85" s="154" t="s">
        <v>402</v>
      </c>
      <c r="E85" s="154" t="s">
        <v>403</v>
      </c>
      <c r="F85" s="154" t="s">
        <v>404</v>
      </c>
      <c r="G85" s="154" t="s">
        <v>405</v>
      </c>
      <c r="H85" s="154" t="s">
        <v>406</v>
      </c>
      <c r="I85" s="154" t="s">
        <v>407</v>
      </c>
      <c r="J85" s="154" t="s">
        <v>408</v>
      </c>
      <c r="K85" s="153">
        <v>38360</v>
      </c>
      <c r="L85" s="153" t="s">
        <v>41</v>
      </c>
      <c r="M85" s="153" t="s">
        <v>423</v>
      </c>
      <c r="N85" s="155">
        <v>3004.2</v>
      </c>
      <c r="O85" s="155">
        <v>3868.5</v>
      </c>
      <c r="P85" s="155">
        <v>3749.7</v>
      </c>
      <c r="Q85" s="155">
        <v>4101.3</v>
      </c>
      <c r="R85" s="155">
        <v>1618.8</v>
      </c>
      <c r="S85" s="155">
        <v>1903.5</v>
      </c>
      <c r="T85" s="155">
        <v>1383</v>
      </c>
    </row>
    <row r="86" spans="1:20" ht="75" customHeight="1" x14ac:dyDescent="0.25">
      <c r="A86" s="153" t="s">
        <v>400</v>
      </c>
      <c r="B86" s="153" t="s">
        <v>401</v>
      </c>
      <c r="C86" s="153" t="s">
        <v>392</v>
      </c>
      <c r="D86" s="154" t="s">
        <v>402</v>
      </c>
      <c r="E86" s="154" t="s">
        <v>403</v>
      </c>
      <c r="F86" s="154" t="s">
        <v>404</v>
      </c>
      <c r="G86" s="154" t="s">
        <v>405</v>
      </c>
      <c r="H86" s="154" t="s">
        <v>406</v>
      </c>
      <c r="I86" s="154" t="s">
        <v>407</v>
      </c>
      <c r="J86" s="154" t="s">
        <v>408</v>
      </c>
      <c r="K86" s="153">
        <v>38358</v>
      </c>
      <c r="L86" s="153" t="s">
        <v>424</v>
      </c>
      <c r="M86" s="153" t="s">
        <v>423</v>
      </c>
      <c r="N86" s="155">
        <v>5927</v>
      </c>
      <c r="O86" s="155">
        <v>8491</v>
      </c>
      <c r="P86" s="155">
        <v>6512.5</v>
      </c>
      <c r="Q86" s="155">
        <v>8024.5</v>
      </c>
      <c r="R86" s="155">
        <v>2815.5</v>
      </c>
      <c r="S86" s="155">
        <v>4582.5</v>
      </c>
      <c r="T86" s="155">
        <v>3700</v>
      </c>
    </row>
    <row r="87" spans="1:20" ht="75" customHeight="1" x14ac:dyDescent="0.25">
      <c r="A87" s="153" t="s">
        <v>400</v>
      </c>
      <c r="B87" s="153" t="s">
        <v>401</v>
      </c>
      <c r="C87" s="153" t="s">
        <v>392</v>
      </c>
      <c r="D87" s="154" t="s">
        <v>402</v>
      </c>
      <c r="E87" s="154" t="s">
        <v>403</v>
      </c>
      <c r="F87" s="154" t="s">
        <v>404</v>
      </c>
      <c r="G87" s="154" t="s">
        <v>405</v>
      </c>
      <c r="H87" s="154" t="s">
        <v>406</v>
      </c>
      <c r="I87" s="154" t="s">
        <v>407</v>
      </c>
      <c r="J87" s="154" t="s">
        <v>408</v>
      </c>
      <c r="K87" s="153">
        <v>38372</v>
      </c>
      <c r="L87" s="153" t="s">
        <v>283</v>
      </c>
      <c r="M87" s="153" t="s">
        <v>228</v>
      </c>
      <c r="N87" s="153">
        <v>203</v>
      </c>
      <c r="O87" s="153">
        <v>277</v>
      </c>
      <c r="P87" s="153">
        <v>259</v>
      </c>
      <c r="Q87" s="153">
        <v>229</v>
      </c>
      <c r="R87" s="153">
        <v>121</v>
      </c>
      <c r="S87" s="153">
        <v>141</v>
      </c>
      <c r="T87" s="153">
        <v>164</v>
      </c>
    </row>
    <row r="88" spans="1:20" ht="75" customHeight="1" x14ac:dyDescent="0.25">
      <c r="A88" s="153" t="s">
        <v>400</v>
      </c>
      <c r="B88" s="153" t="s">
        <v>401</v>
      </c>
      <c r="C88" s="153" t="s">
        <v>392</v>
      </c>
      <c r="D88" s="154" t="s">
        <v>402</v>
      </c>
      <c r="E88" s="154" t="s">
        <v>403</v>
      </c>
      <c r="F88" s="154" t="s">
        <v>404</v>
      </c>
      <c r="G88" s="154" t="s">
        <v>405</v>
      </c>
      <c r="H88" s="154" t="s">
        <v>406</v>
      </c>
      <c r="I88" s="154" t="s">
        <v>407</v>
      </c>
      <c r="J88" s="154" t="s">
        <v>408</v>
      </c>
      <c r="K88" s="153">
        <v>38377</v>
      </c>
      <c r="L88" s="153" t="s">
        <v>425</v>
      </c>
      <c r="M88" s="153" t="s">
        <v>423</v>
      </c>
      <c r="N88" s="155">
        <v>2170</v>
      </c>
      <c r="O88" s="153">
        <v>3136</v>
      </c>
      <c r="P88" s="155">
        <v>2702</v>
      </c>
      <c r="Q88" s="155">
        <v>2380</v>
      </c>
      <c r="R88" s="155">
        <v>1050</v>
      </c>
      <c r="S88" s="155">
        <v>1638</v>
      </c>
      <c r="T88" s="155">
        <v>1750</v>
      </c>
    </row>
    <row r="89" spans="1:20" ht="75" customHeight="1" x14ac:dyDescent="0.25">
      <c r="A89" s="153" t="s">
        <v>400</v>
      </c>
      <c r="B89" s="153" t="s">
        <v>401</v>
      </c>
      <c r="C89" s="153" t="s">
        <v>392</v>
      </c>
      <c r="D89" s="154" t="s">
        <v>402</v>
      </c>
      <c r="E89" s="154" t="s">
        <v>403</v>
      </c>
      <c r="F89" s="154" t="s">
        <v>404</v>
      </c>
      <c r="G89" s="154" t="s">
        <v>405</v>
      </c>
      <c r="H89" s="154" t="s">
        <v>406</v>
      </c>
      <c r="I89" s="154" t="s">
        <v>407</v>
      </c>
      <c r="J89" s="154" t="s">
        <v>408</v>
      </c>
      <c r="K89" s="153">
        <v>38295</v>
      </c>
      <c r="L89" s="153" t="s">
        <v>426</v>
      </c>
      <c r="M89" s="153" t="s">
        <v>228</v>
      </c>
      <c r="N89" s="153">
        <v>99</v>
      </c>
      <c r="O89" s="153">
        <v>175</v>
      </c>
      <c r="P89" s="153">
        <v>147</v>
      </c>
      <c r="Q89" s="153">
        <v>138</v>
      </c>
      <c r="R89" s="153">
        <v>57</v>
      </c>
      <c r="S89" s="153">
        <v>81</v>
      </c>
      <c r="T89" s="153">
        <v>78</v>
      </c>
    </row>
    <row r="90" spans="1:20" ht="75" customHeight="1" x14ac:dyDescent="0.25">
      <c r="A90" s="153" t="s">
        <v>400</v>
      </c>
      <c r="B90" s="153" t="s">
        <v>401</v>
      </c>
      <c r="C90" s="153" t="s">
        <v>392</v>
      </c>
      <c r="D90" s="154" t="s">
        <v>402</v>
      </c>
      <c r="E90" s="154" t="s">
        <v>403</v>
      </c>
      <c r="F90" s="154" t="s">
        <v>404</v>
      </c>
      <c r="G90" s="154" t="s">
        <v>405</v>
      </c>
      <c r="H90" s="154" t="s">
        <v>406</v>
      </c>
      <c r="I90" s="154" t="s">
        <v>407</v>
      </c>
      <c r="J90" s="154" t="s">
        <v>408</v>
      </c>
      <c r="K90" s="153">
        <v>15112</v>
      </c>
      <c r="L90" s="153" t="s">
        <v>214</v>
      </c>
      <c r="M90" s="153" t="s">
        <v>363</v>
      </c>
      <c r="N90" s="153">
        <v>1.17</v>
      </c>
      <c r="O90" s="153">
        <v>1.76</v>
      </c>
      <c r="P90" s="153">
        <v>1.48</v>
      </c>
      <c r="Q90" s="153">
        <v>1.56</v>
      </c>
      <c r="R90" s="153">
        <v>0.67</v>
      </c>
      <c r="S90" s="153">
        <v>0.91</v>
      </c>
      <c r="T90" s="153">
        <v>0.86</v>
      </c>
    </row>
    <row r="91" spans="1:20" ht="75" customHeight="1" x14ac:dyDescent="0.25">
      <c r="A91" s="153" t="s">
        <v>400</v>
      </c>
      <c r="B91" s="153" t="s">
        <v>401</v>
      </c>
      <c r="C91" s="153" t="s">
        <v>392</v>
      </c>
      <c r="D91" s="154" t="s">
        <v>402</v>
      </c>
      <c r="E91" s="154" t="s">
        <v>403</v>
      </c>
      <c r="F91" s="154" t="s">
        <v>404</v>
      </c>
      <c r="G91" s="154" t="s">
        <v>405</v>
      </c>
      <c r="H91" s="154" t="s">
        <v>406</v>
      </c>
      <c r="I91" s="154" t="s">
        <v>407</v>
      </c>
      <c r="J91" s="154" t="s">
        <v>408</v>
      </c>
      <c r="K91" s="153">
        <v>37891</v>
      </c>
      <c r="L91" s="153" t="s">
        <v>271</v>
      </c>
      <c r="M91" s="153" t="s">
        <v>306</v>
      </c>
      <c r="N91" s="153">
        <v>0.7</v>
      </c>
      <c r="O91" s="153">
        <v>1.05</v>
      </c>
      <c r="P91" s="153">
        <v>0.94</v>
      </c>
      <c r="Q91" s="153">
        <v>0.85</v>
      </c>
      <c r="R91" s="153">
        <v>0.41</v>
      </c>
      <c r="S91" s="153">
        <v>0.51</v>
      </c>
      <c r="T91" s="153">
        <v>0.56000000000000005</v>
      </c>
    </row>
    <row r="92" spans="1:20" ht="75" customHeight="1" x14ac:dyDescent="0.25">
      <c r="A92" s="153" t="s">
        <v>400</v>
      </c>
      <c r="B92" s="153" t="s">
        <v>401</v>
      </c>
      <c r="C92" s="153" t="s">
        <v>392</v>
      </c>
      <c r="D92" s="154" t="s">
        <v>402</v>
      </c>
      <c r="E92" s="154" t="s">
        <v>403</v>
      </c>
      <c r="F92" s="154" t="s">
        <v>404</v>
      </c>
      <c r="G92" s="154" t="s">
        <v>405</v>
      </c>
      <c r="H92" s="154" t="s">
        <v>406</v>
      </c>
      <c r="I92" s="154" t="s">
        <v>407</v>
      </c>
      <c r="J92" s="154" t="s">
        <v>408</v>
      </c>
      <c r="K92" s="153">
        <v>37923</v>
      </c>
      <c r="L92" s="153" t="s">
        <v>277</v>
      </c>
      <c r="M92" s="153" t="s">
        <v>316</v>
      </c>
      <c r="N92" s="153">
        <v>1.03</v>
      </c>
      <c r="O92" s="153">
        <v>1.33</v>
      </c>
      <c r="P92" s="153">
        <v>1.1499999999999999</v>
      </c>
      <c r="Q92" s="153">
        <v>1.18</v>
      </c>
      <c r="R92" s="153">
        <v>0.59</v>
      </c>
      <c r="S92" s="153">
        <v>0.63</v>
      </c>
      <c r="T92" s="153">
        <v>0.8</v>
      </c>
    </row>
    <row r="93" spans="1:20" ht="75" customHeight="1" x14ac:dyDescent="0.25">
      <c r="A93" s="153" t="s">
        <v>400</v>
      </c>
      <c r="B93" s="153" t="s">
        <v>401</v>
      </c>
      <c r="C93" s="153" t="s">
        <v>392</v>
      </c>
      <c r="D93" s="154" t="s">
        <v>402</v>
      </c>
      <c r="E93" s="154" t="s">
        <v>403</v>
      </c>
      <c r="F93" s="154" t="s">
        <v>404</v>
      </c>
      <c r="G93" s="154" t="s">
        <v>405</v>
      </c>
      <c r="H93" s="154" t="s">
        <v>406</v>
      </c>
      <c r="I93" s="154" t="s">
        <v>407</v>
      </c>
      <c r="J93" s="154" t="s">
        <v>408</v>
      </c>
      <c r="K93" s="153">
        <v>37925</v>
      </c>
      <c r="L93" s="153" t="s">
        <v>278</v>
      </c>
      <c r="M93" s="153" t="s">
        <v>316</v>
      </c>
      <c r="N93" s="153">
        <v>0.85</v>
      </c>
      <c r="O93" s="153">
        <v>1.51</v>
      </c>
      <c r="P93" s="153">
        <v>1.23</v>
      </c>
      <c r="Q93" s="153">
        <v>1.26</v>
      </c>
      <c r="R93" s="153">
        <v>0.49</v>
      </c>
      <c r="S93" s="153">
        <v>0.74</v>
      </c>
      <c r="T93" s="153">
        <v>0.63</v>
      </c>
    </row>
    <row r="94" spans="1:20" ht="75" customHeight="1" x14ac:dyDescent="0.25">
      <c r="A94" s="153" t="s">
        <v>400</v>
      </c>
      <c r="B94" s="153" t="s">
        <v>401</v>
      </c>
      <c r="C94" s="153" t="s">
        <v>392</v>
      </c>
      <c r="D94" s="154" t="s">
        <v>402</v>
      </c>
      <c r="E94" s="154" t="s">
        <v>403</v>
      </c>
      <c r="F94" s="154" t="s">
        <v>404</v>
      </c>
      <c r="G94" s="154" t="s">
        <v>405</v>
      </c>
      <c r="H94" s="154" t="s">
        <v>406</v>
      </c>
      <c r="I94" s="154" t="s">
        <v>407</v>
      </c>
      <c r="J94" s="154" t="s">
        <v>408</v>
      </c>
      <c r="K94" s="153">
        <v>37927</v>
      </c>
      <c r="L94" s="153" t="s">
        <v>279</v>
      </c>
      <c r="M94" s="153" t="s">
        <v>319</v>
      </c>
      <c r="N94" s="153">
        <v>0.2</v>
      </c>
      <c r="O94" s="153">
        <v>0.4</v>
      </c>
      <c r="P94" s="153">
        <v>0.28000000000000003</v>
      </c>
      <c r="Q94" s="153">
        <v>0.35</v>
      </c>
      <c r="R94" s="153">
        <v>0.14000000000000001</v>
      </c>
      <c r="S94" s="153">
        <v>0.15</v>
      </c>
      <c r="T94" s="153">
        <v>0.24</v>
      </c>
    </row>
    <row r="95" spans="1:20" ht="75" customHeight="1" x14ac:dyDescent="0.25">
      <c r="A95" s="153" t="s">
        <v>400</v>
      </c>
      <c r="B95" s="153" t="s">
        <v>401</v>
      </c>
      <c r="C95" s="153" t="s">
        <v>392</v>
      </c>
      <c r="D95" s="154" t="s">
        <v>402</v>
      </c>
      <c r="E95" s="154" t="s">
        <v>403</v>
      </c>
      <c r="F95" s="154" t="s">
        <v>404</v>
      </c>
      <c r="G95" s="154" t="s">
        <v>405</v>
      </c>
      <c r="H95" s="154" t="s">
        <v>406</v>
      </c>
      <c r="I95" s="154" t="s">
        <v>407</v>
      </c>
      <c r="J95" s="154" t="s">
        <v>408</v>
      </c>
      <c r="K95" s="153">
        <v>13529</v>
      </c>
      <c r="L95" s="153" t="s">
        <v>128</v>
      </c>
      <c r="M95" s="153" t="s">
        <v>427</v>
      </c>
      <c r="N95" s="153">
        <v>0.15</v>
      </c>
      <c r="O95" s="153">
        <v>0.15</v>
      </c>
      <c r="P95" s="153">
        <v>0.14000000000000001</v>
      </c>
      <c r="Q95" s="153">
        <v>0.15</v>
      </c>
      <c r="R95" s="153">
        <v>0.08</v>
      </c>
      <c r="S95" s="153">
        <v>0.08</v>
      </c>
      <c r="T95" s="153">
        <v>0.08</v>
      </c>
    </row>
    <row r="96" spans="1:20" ht="75" customHeight="1" x14ac:dyDescent="0.25">
      <c r="A96" s="153" t="s">
        <v>400</v>
      </c>
      <c r="B96" s="153" t="s">
        <v>401</v>
      </c>
      <c r="C96" s="153" t="s">
        <v>392</v>
      </c>
      <c r="D96" s="154" t="s">
        <v>402</v>
      </c>
      <c r="E96" s="154" t="s">
        <v>403</v>
      </c>
      <c r="F96" s="154" t="s">
        <v>404</v>
      </c>
      <c r="G96" s="154" t="s">
        <v>405</v>
      </c>
      <c r="H96" s="154" t="s">
        <v>406</v>
      </c>
      <c r="I96" s="154" t="s">
        <v>407</v>
      </c>
      <c r="J96" s="154" t="s">
        <v>408</v>
      </c>
      <c r="K96" s="153">
        <v>39769</v>
      </c>
      <c r="L96" s="153" t="s">
        <v>126</v>
      </c>
      <c r="M96" s="153" t="s">
        <v>321</v>
      </c>
      <c r="N96" s="153">
        <v>0.03</v>
      </c>
      <c r="O96" s="153">
        <v>0.05</v>
      </c>
      <c r="P96" s="153">
        <v>0.05</v>
      </c>
      <c r="Q96" s="153">
        <v>0.05</v>
      </c>
      <c r="R96" s="153">
        <v>0.02</v>
      </c>
      <c r="S96" s="153">
        <v>0.03</v>
      </c>
      <c r="T96" s="153">
        <v>0.02</v>
      </c>
    </row>
    <row r="97" spans="1:20" ht="75" customHeight="1" x14ac:dyDescent="0.25">
      <c r="A97" s="153" t="s">
        <v>400</v>
      </c>
      <c r="B97" s="153" t="s">
        <v>401</v>
      </c>
      <c r="C97" s="153" t="s">
        <v>392</v>
      </c>
      <c r="D97" s="154" t="s">
        <v>402</v>
      </c>
      <c r="E97" s="154" t="s">
        <v>403</v>
      </c>
      <c r="F97" s="154" t="s">
        <v>404</v>
      </c>
      <c r="G97" s="154" t="s">
        <v>405</v>
      </c>
      <c r="H97" s="154" t="s">
        <v>406</v>
      </c>
      <c r="I97" s="154" t="s">
        <v>407</v>
      </c>
      <c r="J97" s="154" t="s">
        <v>408</v>
      </c>
      <c r="K97" s="153">
        <v>37901</v>
      </c>
      <c r="L97" s="153" t="s">
        <v>130</v>
      </c>
      <c r="M97" s="153" t="s">
        <v>308</v>
      </c>
      <c r="N97" s="153">
        <v>0.09</v>
      </c>
      <c r="O97" s="153">
        <v>0.13</v>
      </c>
      <c r="P97" s="153">
        <v>0.1</v>
      </c>
      <c r="Q97" s="153">
        <v>0.12</v>
      </c>
      <c r="R97" s="153">
        <v>0.06</v>
      </c>
      <c r="S97" s="153">
        <v>7.0000000000000007E-2</v>
      </c>
      <c r="T97" s="153">
        <v>7.0000000000000007E-2</v>
      </c>
    </row>
    <row r="98" spans="1:20" ht="75" customHeight="1" x14ac:dyDescent="0.25">
      <c r="A98" s="153" t="s">
        <v>400</v>
      </c>
      <c r="B98" s="153" t="s">
        <v>401</v>
      </c>
      <c r="C98" s="153" t="s">
        <v>392</v>
      </c>
      <c r="D98" s="154" t="s">
        <v>402</v>
      </c>
      <c r="E98" s="154" t="s">
        <v>403</v>
      </c>
      <c r="F98" s="154" t="s">
        <v>404</v>
      </c>
      <c r="G98" s="154" t="s">
        <v>405</v>
      </c>
      <c r="H98" s="154" t="s">
        <v>406</v>
      </c>
      <c r="I98" s="154" t="s">
        <v>407</v>
      </c>
      <c r="J98" s="154" t="s">
        <v>408</v>
      </c>
      <c r="K98" s="153">
        <v>37921</v>
      </c>
      <c r="L98" s="153" t="s">
        <v>132</v>
      </c>
      <c r="M98" s="153" t="s">
        <v>308</v>
      </c>
      <c r="N98" s="153">
        <v>0.06</v>
      </c>
      <c r="O98" s="153">
        <v>0.08</v>
      </c>
      <c r="P98" s="153">
        <v>7.0000000000000007E-2</v>
      </c>
      <c r="Q98" s="153">
        <v>0.06</v>
      </c>
      <c r="R98" s="153">
        <v>0.03</v>
      </c>
      <c r="S98" s="153">
        <v>0.03</v>
      </c>
      <c r="T98" s="153">
        <v>0.05</v>
      </c>
    </row>
    <row r="99" spans="1:20" ht="75" customHeight="1" x14ac:dyDescent="0.25">
      <c r="A99" s="153" t="s">
        <v>400</v>
      </c>
      <c r="B99" s="153" t="s">
        <v>401</v>
      </c>
      <c r="C99" s="153" t="s">
        <v>392</v>
      </c>
      <c r="D99" s="154" t="s">
        <v>402</v>
      </c>
      <c r="E99" s="154" t="s">
        <v>403</v>
      </c>
      <c r="F99" s="154" t="s">
        <v>404</v>
      </c>
      <c r="G99" s="154" t="s">
        <v>405</v>
      </c>
      <c r="H99" s="154" t="s">
        <v>406</v>
      </c>
      <c r="I99" s="154" t="s">
        <v>407</v>
      </c>
      <c r="J99" s="154" t="s">
        <v>408</v>
      </c>
      <c r="K99" s="153">
        <v>37999</v>
      </c>
      <c r="L99" s="153" t="s">
        <v>134</v>
      </c>
      <c r="M99" s="153" t="s">
        <v>428</v>
      </c>
      <c r="N99" s="153">
        <v>0.1</v>
      </c>
      <c r="O99" s="153">
        <v>0.15</v>
      </c>
      <c r="P99" s="153">
        <v>0.12</v>
      </c>
      <c r="Q99" s="153">
        <v>0.13</v>
      </c>
      <c r="R99" s="153">
        <v>0.06</v>
      </c>
      <c r="S99" s="153">
        <v>7.0000000000000007E-2</v>
      </c>
      <c r="T99" s="153">
        <v>0.08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Home</vt:lpstr>
      <vt:lpstr>WEEKLY PREP GUIDES</vt:lpstr>
      <vt:lpstr>DRY</vt:lpstr>
      <vt:lpstr>FRIDGE &amp; FREEZER</vt:lpstr>
      <vt:lpstr>SCHWEPPES</vt:lpstr>
      <vt:lpstr>BEGA</vt:lpstr>
      <vt:lpstr>CUTFRESH</vt:lpstr>
      <vt:lpstr>STOCK ON HAND</vt:lpstr>
      <vt:lpstr>STOCK ON ORDER</vt:lpstr>
      <vt:lpstr>AC and RGM only</vt:lpstr>
      <vt:lpstr>'WEEKLY PREP GUIDES'!Print_Area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2026-04-29T03:49:01Z</dcterms:created>
  <dcterms:modified xsi:type="dcterms:W3CDTF">2026-05-28T05:52:38Z</dcterms:modified>
  <cp:category/>
  <cp:contentStatus/>
</cp:coreProperties>
</file>